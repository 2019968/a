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aobao-user-behavior-analysis\excel\"/>
    </mc:Choice>
  </mc:AlternateContent>
  <xr:revisionPtr revIDLastSave="0" documentId="8_{16D00591-3975-4A92-BF8E-91E986054D11}" xr6:coauthVersionLast="47" xr6:coauthVersionMax="47" xr10:uidLastSave="{00000000-0000-0000-0000-000000000000}"/>
  <bookViews>
    <workbookView xWindow="8205" yWindow="2160" windowWidth="18960" windowHeight="11715" xr2:uid="{BBA803FC-53E1-482A-84BF-9D712E9BEAD0}"/>
  </bookViews>
  <sheets>
    <sheet name="小时维度可视化" sheetId="6" r:id="rId1"/>
    <sheet name="小时行为维度分布" sheetId="2" r:id="rId2"/>
    <sheet name="星期维度可视化" sheetId="7" r:id="rId3"/>
    <sheet name="星期维度行为分布" sheetId="3" r:id="rId4"/>
    <sheet name="用户行为可视化" sheetId="8" r:id="rId5"/>
    <sheet name="用户行为分布分析" sheetId="4" r:id="rId6"/>
    <sheet name="转化率可视化" sheetId="9" r:id="rId7"/>
    <sheet name="转化率分析" sheetId="5" r:id="rId8"/>
    <sheet name="rfm分层可视化" sheetId="13" r:id="rId9"/>
    <sheet name="rfm分层" sheetId="11" r:id="rId10"/>
    <sheet name="商品类目可视化" sheetId="14" r:id="rId11"/>
    <sheet name="商品类目" sheetId="12" r:id="rId12"/>
    <sheet name="Sheet2" sheetId="10" r:id="rId13"/>
  </sheets>
  <definedNames>
    <definedName name="ExternalData_1" localSheetId="9" hidden="1">'rfm分层'!$A$1:$C$4</definedName>
    <definedName name="ExternalData_1" localSheetId="11" hidden="1">商品类目!$A$1:$E$21</definedName>
    <definedName name="ExternalData_1" localSheetId="1" hidden="1">小时行为维度分布!$A$1:$E$25</definedName>
    <definedName name="ExternalData_1" localSheetId="3" hidden="1">星期维度行为分布!$A$1:$E$8</definedName>
    <definedName name="ExternalData_1" localSheetId="5" hidden="1">用户行为分布分析!$A$1:$C$5</definedName>
    <definedName name="ExternalData_1" localSheetId="7" hidden="1">转化率分析!$A$1:$D$4</definedName>
  </definedNames>
  <calcPr calcId="191029"/>
  <pivotCaches>
    <pivotCache cacheId="0" r:id="rId14"/>
    <pivotCache cacheId="1" r:id="rId15"/>
    <pivotCache cacheId="2" r:id="rId16"/>
    <pivotCache cacheId="3" r:id="rId17"/>
    <pivotCache cacheId="4" r:id="rId18"/>
    <pivotCache cacheId="5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7E3203-77AD-4C6D-AEDF-E7D5E1C4003E}" keepAlive="1" name="查询 - rfm分层" description="与工作簿中“rfm分层”查询的连接。" type="5" refreshedVersion="8" background="1" saveData="1">
    <dbPr connection="Provider=Microsoft.Mashup.OleDb.1;Data Source=$Workbook$;Location=rfm分层;Extended Properties=&quot;&quot;" command="SELECT * FROM [rfm分层]"/>
  </connection>
  <connection id="2" xr16:uid="{A48E85B6-C6C2-43BE-BAA3-2A0D043E1220}" keepAlive="1" name="查询 - 商品类目" description="与工作簿中“商品类目”查询的连接。" type="5" refreshedVersion="8" background="1" saveData="1">
    <dbPr connection="Provider=Microsoft.Mashup.OleDb.1;Data Source=$Workbook$;Location=商品类目;Extended Properties=&quot;&quot;" command="SELECT * FROM [商品类目]"/>
  </connection>
  <connection id="3" xr16:uid="{9B5BDEF1-EA03-4D28-8328-A62DB44D2864}" keepAlive="1" name="查询 - 小时行为维度分布" description="与工作簿中“小时行为维度分布”查询的连接。" type="5" refreshedVersion="8" background="1" saveData="1">
    <dbPr connection="Provider=Microsoft.Mashup.OleDb.1;Data Source=$Workbook$;Location=小时行为维度分布;Extended Properties=&quot;&quot;" command="SELECT * FROM [小时行为维度分布]"/>
  </connection>
  <connection id="4" xr16:uid="{ABB47C97-25C4-4892-B1A8-00A4B3299A57}" keepAlive="1" name="查询 - 星期维度行为分布" description="与工作簿中“星期维度行为分布”查询的连接。" type="5" refreshedVersion="8" background="1" saveData="1">
    <dbPr connection="Provider=Microsoft.Mashup.OleDb.1;Data Source=$Workbook$;Location=星期维度行为分布;Extended Properties=&quot;&quot;" command="SELECT * FROM [星期维度行为分布]"/>
  </connection>
  <connection id="5" xr16:uid="{1C663585-1327-4B25-9A93-34AC0D7C6570}" keepAlive="1" name="查询 - 用户行为分布分析" description="与工作簿中“用户行为分布分析”查询的连接。" type="5" refreshedVersion="8" background="1" saveData="1">
    <dbPr connection="Provider=Microsoft.Mashup.OleDb.1;Data Source=$Workbook$;Location=用户行为分布分析;Extended Properties=&quot;&quot;" command="SELECT * FROM [用户行为分布分析]"/>
  </connection>
  <connection id="6" xr16:uid="{597E284F-D9A9-46E8-8127-401DEF6BBF46}" keepAlive="1" name="查询 - 转化率分析" description="与工作簿中“转化率分析”查询的连接。" type="5" refreshedVersion="8" background="1" saveData="1">
    <dbPr connection="Provider=Microsoft.Mashup.OleDb.1;Data Source=$Workbook$;Location=转化率分析;Extended Properties=&quot;&quot;" command="SELECT * FROM [转化率分析]"/>
  </connection>
</connections>
</file>

<file path=xl/sharedStrings.xml><?xml version="1.0" encoding="utf-8"?>
<sst xmlns="http://schemas.openxmlformats.org/spreadsheetml/2006/main" count="87" uniqueCount="45">
  <si>
    <t>小时</t>
  </si>
  <si>
    <t>浏览次数</t>
  </si>
  <si>
    <t>收藏次数</t>
  </si>
  <si>
    <t>加购次数</t>
  </si>
  <si>
    <t>购买次数</t>
  </si>
  <si>
    <t>星期</t>
  </si>
  <si>
    <t>周一</t>
  </si>
  <si>
    <t>周二</t>
  </si>
  <si>
    <t>周三</t>
  </si>
  <si>
    <t>周四</t>
  </si>
  <si>
    <t>周五</t>
  </si>
  <si>
    <t>周六</t>
  </si>
  <si>
    <t>周日</t>
  </si>
  <si>
    <t>行为类型</t>
  </si>
  <si>
    <t>行为次数</t>
  </si>
  <si>
    <t>占比_百分比</t>
  </si>
  <si>
    <t>浏览</t>
  </si>
  <si>
    <t>收藏</t>
  </si>
  <si>
    <t>加购</t>
  </si>
  <si>
    <t>购买</t>
  </si>
  <si>
    <t>转化路径</t>
  </si>
  <si>
    <t>上游行为用户数</t>
  </si>
  <si>
    <t>购买用户数</t>
  </si>
  <si>
    <t>转化率_百分比</t>
  </si>
  <si>
    <t>浏览→购买</t>
  </si>
  <si>
    <t>收藏→购买</t>
  </si>
  <si>
    <t>加购→购买</t>
  </si>
  <si>
    <t>行标签</t>
  </si>
  <si>
    <t>(空白)</t>
  </si>
  <si>
    <t>总计</t>
  </si>
  <si>
    <t>行为</t>
  </si>
  <si>
    <t>占比</t>
  </si>
  <si>
    <t>转化率</t>
  </si>
  <si>
    <t>user_level</t>
  </si>
  <si>
    <t>user_count</t>
  </si>
  <si>
    <t>user_ratio</t>
  </si>
  <si>
    <t>流失用户</t>
  </si>
  <si>
    <t>高价值用户</t>
  </si>
  <si>
    <t>挽留用户</t>
  </si>
  <si>
    <t>商品类目ID</t>
  </si>
  <si>
    <t>类目转化率_百分比</t>
  </si>
  <si>
    <t>1</t>
  </si>
  <si>
    <t>2</t>
  </si>
  <si>
    <t>求和项:类目转化率_百分比</t>
  </si>
  <si>
    <t>求和项:浏览次数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</si>
</sst>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[taobao_user_analysis_report.xlsx]小时维度可视化!24小时用户趋势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24</a:t>
            </a:r>
            <a:r>
              <a:rPr lang="zh-CN" altLang="en-US"/>
              <a:t>小时用户行为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8"/>
        <c:spPr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1"/>
          <c:order val="1"/>
          <c:tx>
            <c:strRef>
              <c:f>小时维度可视化!$C$3</c:f>
              <c:strCache>
                <c:ptCount val="1"/>
                <c:pt idx="0">
                  <c:v>收藏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728E-4EA4-A78A-871D4FADC323}"/>
              </c:ext>
            </c:extLst>
          </c:dPt>
          <c:dLbls>
            <c:dLbl>
              <c:idx val="23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8E-4EA4-A78A-871D4FADC3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小时维度可视化!$A$4:$A$29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(空白)</c:v>
                </c:pt>
              </c:strCache>
            </c:strRef>
          </c:cat>
          <c:val>
            <c:numRef>
              <c:f>小时维度可视化!$C$4:$C$29</c:f>
              <c:numCache>
                <c:formatCode>General</c:formatCode>
                <c:ptCount val="25"/>
                <c:pt idx="0">
                  <c:v>4864</c:v>
                </c:pt>
                <c:pt idx="1">
                  <c:v>2784</c:v>
                </c:pt>
                <c:pt idx="2">
                  <c:v>1474</c:v>
                </c:pt>
                <c:pt idx="3">
                  <c:v>1002</c:v>
                </c:pt>
                <c:pt idx="4">
                  <c:v>912</c:v>
                </c:pt>
                <c:pt idx="5">
                  <c:v>937</c:v>
                </c:pt>
                <c:pt idx="6">
                  <c:v>1590</c:v>
                </c:pt>
                <c:pt idx="7">
                  <c:v>2591</c:v>
                </c:pt>
                <c:pt idx="8">
                  <c:v>3434</c:v>
                </c:pt>
                <c:pt idx="9">
                  <c:v>4674</c:v>
                </c:pt>
                <c:pt idx="10">
                  <c:v>5077</c:v>
                </c:pt>
                <c:pt idx="11">
                  <c:v>4843</c:v>
                </c:pt>
                <c:pt idx="12">
                  <c:v>4302</c:v>
                </c:pt>
                <c:pt idx="13">
                  <c:v>5193</c:v>
                </c:pt>
                <c:pt idx="14">
                  <c:v>5181</c:v>
                </c:pt>
                <c:pt idx="15">
                  <c:v>5317</c:v>
                </c:pt>
                <c:pt idx="16">
                  <c:v>4883</c:v>
                </c:pt>
                <c:pt idx="17">
                  <c:v>4212</c:v>
                </c:pt>
                <c:pt idx="18">
                  <c:v>4662</c:v>
                </c:pt>
                <c:pt idx="19">
                  <c:v>6284</c:v>
                </c:pt>
                <c:pt idx="20">
                  <c:v>7290</c:v>
                </c:pt>
                <c:pt idx="21">
                  <c:v>9104</c:v>
                </c:pt>
                <c:pt idx="22">
                  <c:v>9058</c:v>
                </c:pt>
                <c:pt idx="23">
                  <c:v>7846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28E-4EA4-A78A-871D4FADC323}"/>
            </c:ext>
          </c:extLst>
        </c:ser>
        <c:ser>
          <c:idx val="2"/>
          <c:order val="2"/>
          <c:tx>
            <c:strRef>
              <c:f>小时维度可视化!$D$3</c:f>
              <c:strCache>
                <c:ptCount val="1"/>
                <c:pt idx="0">
                  <c:v>加购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23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28E-4EA4-A78A-871D4FADC323}"/>
              </c:ext>
            </c:extLst>
          </c:dPt>
          <c:dLbls>
            <c:dLbl>
              <c:idx val="23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8E-4EA4-A78A-871D4FADC3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小时维度可视化!$A$4:$A$29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(空白)</c:v>
                </c:pt>
              </c:strCache>
            </c:strRef>
          </c:cat>
          <c:val>
            <c:numRef>
              <c:f>小时维度可视化!$D$4:$D$29</c:f>
              <c:numCache>
                <c:formatCode>General</c:formatCode>
                <c:ptCount val="25"/>
                <c:pt idx="0">
                  <c:v>6253</c:v>
                </c:pt>
                <c:pt idx="1">
                  <c:v>2985</c:v>
                </c:pt>
                <c:pt idx="2">
                  <c:v>1700</c:v>
                </c:pt>
                <c:pt idx="3">
                  <c:v>1158</c:v>
                </c:pt>
                <c:pt idx="4">
                  <c:v>977</c:v>
                </c:pt>
                <c:pt idx="5">
                  <c:v>1015</c:v>
                </c:pt>
                <c:pt idx="6">
                  <c:v>1731</c:v>
                </c:pt>
                <c:pt idx="7">
                  <c:v>3143</c:v>
                </c:pt>
                <c:pt idx="8">
                  <c:v>4442</c:v>
                </c:pt>
                <c:pt idx="9">
                  <c:v>5756</c:v>
                </c:pt>
                <c:pt idx="10">
                  <c:v>7326</c:v>
                </c:pt>
                <c:pt idx="11">
                  <c:v>6779</c:v>
                </c:pt>
                <c:pt idx="12">
                  <c:v>6697</c:v>
                </c:pt>
                <c:pt idx="13">
                  <c:v>7759</c:v>
                </c:pt>
                <c:pt idx="14">
                  <c:v>7519</c:v>
                </c:pt>
                <c:pt idx="15">
                  <c:v>7754</c:v>
                </c:pt>
                <c:pt idx="16">
                  <c:v>7160</c:v>
                </c:pt>
                <c:pt idx="17">
                  <c:v>6431</c:v>
                </c:pt>
                <c:pt idx="18">
                  <c:v>6628</c:v>
                </c:pt>
                <c:pt idx="19">
                  <c:v>8391</c:v>
                </c:pt>
                <c:pt idx="20">
                  <c:v>11107</c:v>
                </c:pt>
                <c:pt idx="21">
                  <c:v>13506</c:v>
                </c:pt>
                <c:pt idx="22">
                  <c:v>14456</c:v>
                </c:pt>
                <c:pt idx="23">
                  <c:v>12314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28E-4EA4-A78A-871D4FADC323}"/>
            </c:ext>
          </c:extLst>
        </c:ser>
        <c:ser>
          <c:idx val="3"/>
          <c:order val="3"/>
          <c:tx>
            <c:strRef>
              <c:f>小时维度可视化!$E$3</c:f>
              <c:strCache>
                <c:ptCount val="1"/>
                <c:pt idx="0">
                  <c:v>购买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23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728E-4EA4-A78A-871D4FADC323}"/>
              </c:ext>
            </c:extLst>
          </c:dPt>
          <c:dLbls>
            <c:dLbl>
              <c:idx val="23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8E-4EA4-A78A-871D4FADC3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小时维度可视化!$A$4:$A$29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(空白)</c:v>
                </c:pt>
              </c:strCache>
            </c:strRef>
          </c:cat>
          <c:val>
            <c:numRef>
              <c:f>小时维度可视化!$E$4:$E$29</c:f>
              <c:numCache>
                <c:formatCode>General</c:formatCode>
                <c:ptCount val="25"/>
                <c:pt idx="0">
                  <c:v>2205</c:v>
                </c:pt>
                <c:pt idx="1">
                  <c:v>724</c:v>
                </c:pt>
                <c:pt idx="2">
                  <c:v>371</c:v>
                </c:pt>
                <c:pt idx="3">
                  <c:v>216</c:v>
                </c:pt>
                <c:pt idx="4">
                  <c:v>180</c:v>
                </c:pt>
                <c:pt idx="5">
                  <c:v>195</c:v>
                </c:pt>
                <c:pt idx="6">
                  <c:v>469</c:v>
                </c:pt>
                <c:pt idx="7">
                  <c:v>833</c:v>
                </c:pt>
                <c:pt idx="8">
                  <c:v>1653</c:v>
                </c:pt>
                <c:pt idx="9">
                  <c:v>2591</c:v>
                </c:pt>
                <c:pt idx="10">
                  <c:v>3239</c:v>
                </c:pt>
                <c:pt idx="11">
                  <c:v>3217</c:v>
                </c:pt>
                <c:pt idx="12">
                  <c:v>3147</c:v>
                </c:pt>
                <c:pt idx="13">
                  <c:v>3423</c:v>
                </c:pt>
                <c:pt idx="14">
                  <c:v>3256</c:v>
                </c:pt>
                <c:pt idx="15">
                  <c:v>3236</c:v>
                </c:pt>
                <c:pt idx="16">
                  <c:v>3156</c:v>
                </c:pt>
                <c:pt idx="17">
                  <c:v>2365</c:v>
                </c:pt>
                <c:pt idx="18">
                  <c:v>2267</c:v>
                </c:pt>
                <c:pt idx="19">
                  <c:v>2842</c:v>
                </c:pt>
                <c:pt idx="20">
                  <c:v>3496</c:v>
                </c:pt>
                <c:pt idx="21">
                  <c:v>3960</c:v>
                </c:pt>
                <c:pt idx="22">
                  <c:v>4004</c:v>
                </c:pt>
                <c:pt idx="23">
                  <c:v>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28E-4EA4-A78A-871D4FAD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4952895"/>
        <c:axId val="1184955775"/>
      </c:lineChart>
      <c:lineChart>
        <c:grouping val="standard"/>
        <c:varyColors val="0"/>
        <c:ser>
          <c:idx val="0"/>
          <c:order val="0"/>
          <c:tx>
            <c:strRef>
              <c:f>小时维度可视化!$B$3</c:f>
              <c:strCache>
                <c:ptCount val="1"/>
                <c:pt idx="0">
                  <c:v>浏览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小时维度可视化!$A$4:$A$29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(空白)</c:v>
                </c:pt>
              </c:strCache>
            </c:strRef>
          </c:cat>
          <c:val>
            <c:numRef>
              <c:f>小时维度可视化!$B$4:$B$29</c:f>
              <c:numCache>
                <c:formatCode>General</c:formatCode>
                <c:ptCount val="25"/>
                <c:pt idx="0">
                  <c:v>217699</c:v>
                </c:pt>
                <c:pt idx="1">
                  <c:v>113097</c:v>
                </c:pt>
                <c:pt idx="2">
                  <c:v>62038</c:v>
                </c:pt>
                <c:pt idx="3">
                  <c:v>41698</c:v>
                </c:pt>
                <c:pt idx="4">
                  <c:v>33509</c:v>
                </c:pt>
                <c:pt idx="5">
                  <c:v>37187</c:v>
                </c:pt>
                <c:pt idx="6">
                  <c:v>66754</c:v>
                </c:pt>
                <c:pt idx="7">
                  <c:v>121162</c:v>
                </c:pt>
                <c:pt idx="8">
                  <c:v>166484</c:v>
                </c:pt>
                <c:pt idx="9">
                  <c:v>202739</c:v>
                </c:pt>
                <c:pt idx="10">
                  <c:v>229874</c:v>
                </c:pt>
                <c:pt idx="11">
                  <c:v>219804</c:v>
                </c:pt>
                <c:pt idx="12">
                  <c:v>222506</c:v>
                </c:pt>
                <c:pt idx="13">
                  <c:v>249462</c:v>
                </c:pt>
                <c:pt idx="14">
                  <c:v>248742</c:v>
                </c:pt>
                <c:pt idx="15">
                  <c:v>250143</c:v>
                </c:pt>
                <c:pt idx="16">
                  <c:v>240669</c:v>
                </c:pt>
                <c:pt idx="17">
                  <c:v>211773</c:v>
                </c:pt>
                <c:pt idx="18">
                  <c:v>230248</c:v>
                </c:pt>
                <c:pt idx="19">
                  <c:v>310449</c:v>
                </c:pt>
                <c:pt idx="20">
                  <c:v>394276</c:v>
                </c:pt>
                <c:pt idx="21">
                  <c:v>459150</c:v>
                </c:pt>
                <c:pt idx="22">
                  <c:v>458920</c:v>
                </c:pt>
                <c:pt idx="23">
                  <c:v>357285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8E-4EA4-A78A-871D4FAD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4915215"/>
        <c:axId val="494907615"/>
      </c:lineChart>
      <c:catAx>
        <c:axId val="11849528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84955775"/>
        <c:crosses val="autoZero"/>
        <c:auto val="1"/>
        <c:lblAlgn val="ctr"/>
        <c:lblOffset val="100"/>
        <c:noMultiLvlLbl val="0"/>
      </c:catAx>
      <c:valAx>
        <c:axId val="118495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baseline="0"/>
                  <a:t>收藏 </a:t>
                </a:r>
                <a:r>
                  <a:rPr lang="en-US" altLang="zh-CN" sz="1000" b="0" i="0" u="none" strike="noStrike" baseline="0"/>
                  <a:t>/ </a:t>
                </a:r>
                <a:r>
                  <a:rPr lang="zh-CN" altLang="en-US" sz="1000" b="0" i="0" u="none" strike="noStrike" baseline="0"/>
                  <a:t>加购 </a:t>
                </a:r>
                <a:r>
                  <a:rPr lang="en-US" altLang="zh-CN" sz="1000" b="0" i="0" u="none" strike="noStrike" baseline="0"/>
                  <a:t>/ </a:t>
                </a:r>
                <a:r>
                  <a:rPr lang="zh-CN" altLang="en-US" sz="1000" b="0" i="0" u="none" strike="noStrike" baseline="0"/>
                  <a:t>购买次数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84952895"/>
        <c:crosses val="autoZero"/>
        <c:crossBetween val="between"/>
      </c:valAx>
      <c:valAx>
        <c:axId val="4949076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浏览次数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24915215"/>
        <c:crosses val="max"/>
        <c:crossBetween val="between"/>
      </c:valAx>
      <c:catAx>
        <c:axId val="1624915215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907615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5747566952361E-2"/>
          <c:y val="0.88587172614061538"/>
          <c:w val="0.47575221238938054"/>
          <c:h val="0.1113639917350756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汇总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25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(空白)</c:v>
              </c:pt>
            </c:strLit>
          </c:cat>
          <c:val>
            <c:numLit>
              <c:formatCode>General</c:formatCode>
              <c:ptCount val="25"/>
              <c:pt idx="0">
                <c:v>6253</c:v>
              </c:pt>
              <c:pt idx="1">
                <c:v>2985</c:v>
              </c:pt>
              <c:pt idx="2">
                <c:v>1700</c:v>
              </c:pt>
              <c:pt idx="3">
                <c:v>1158</c:v>
              </c:pt>
              <c:pt idx="4">
                <c:v>977</c:v>
              </c:pt>
              <c:pt idx="5">
                <c:v>1015</c:v>
              </c:pt>
              <c:pt idx="6">
                <c:v>1731</c:v>
              </c:pt>
              <c:pt idx="7">
                <c:v>3143</c:v>
              </c:pt>
              <c:pt idx="8">
                <c:v>4442</c:v>
              </c:pt>
              <c:pt idx="9">
                <c:v>5756</c:v>
              </c:pt>
              <c:pt idx="10">
                <c:v>7326</c:v>
              </c:pt>
              <c:pt idx="11">
                <c:v>6779</c:v>
              </c:pt>
              <c:pt idx="12">
                <c:v>6697</c:v>
              </c:pt>
              <c:pt idx="13">
                <c:v>7759</c:v>
              </c:pt>
              <c:pt idx="14">
                <c:v>7519</c:v>
              </c:pt>
              <c:pt idx="15">
                <c:v>7754</c:v>
              </c:pt>
              <c:pt idx="16">
                <c:v>7160</c:v>
              </c:pt>
              <c:pt idx="17">
                <c:v>6431</c:v>
              </c:pt>
              <c:pt idx="18">
                <c:v>6628</c:v>
              </c:pt>
              <c:pt idx="19">
                <c:v>8391</c:v>
              </c:pt>
              <c:pt idx="20">
                <c:v>11107</c:v>
              </c:pt>
              <c:pt idx="21">
                <c:v>13506</c:v>
              </c:pt>
              <c:pt idx="22">
                <c:v>14456</c:v>
              </c:pt>
              <c:pt idx="23">
                <c:v>12314</c:v>
              </c:pt>
              <c:pt idx="2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4EC5-4C7D-88D1-E32C44E14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9337631"/>
        <c:axId val="1306624751"/>
      </c:lineChart>
      <c:catAx>
        <c:axId val="1189337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6624751"/>
        <c:crosses val="autoZero"/>
        <c:auto val="1"/>
        <c:lblAlgn val="ctr"/>
        <c:lblOffset val="100"/>
        <c:noMultiLvlLbl val="0"/>
      </c:catAx>
      <c:valAx>
        <c:axId val="130662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89337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汇总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25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  <c:pt idx="11">
                <c:v>11</c:v>
              </c:pt>
              <c:pt idx="12">
                <c:v>12</c:v>
              </c:pt>
              <c:pt idx="13">
                <c:v>13</c:v>
              </c:pt>
              <c:pt idx="14">
                <c:v>14</c:v>
              </c:pt>
              <c:pt idx="15">
                <c:v>15</c:v>
              </c:pt>
              <c:pt idx="16">
                <c:v>16</c:v>
              </c:pt>
              <c:pt idx="17">
                <c:v>17</c:v>
              </c:pt>
              <c:pt idx="18">
                <c:v>18</c:v>
              </c:pt>
              <c:pt idx="19">
                <c:v>19</c:v>
              </c:pt>
              <c:pt idx="20">
                <c:v>20</c:v>
              </c:pt>
              <c:pt idx="21">
                <c:v>21</c:v>
              </c:pt>
              <c:pt idx="22">
                <c:v>22</c:v>
              </c:pt>
              <c:pt idx="23">
                <c:v>23</c:v>
              </c:pt>
              <c:pt idx="24">
                <c:v>(空白)</c:v>
              </c:pt>
            </c:strLit>
          </c:cat>
          <c:val>
            <c:numLit>
              <c:formatCode>General</c:formatCode>
              <c:ptCount val="25"/>
              <c:pt idx="0">
                <c:v>2205</c:v>
              </c:pt>
              <c:pt idx="1">
                <c:v>724</c:v>
              </c:pt>
              <c:pt idx="2">
                <c:v>371</c:v>
              </c:pt>
              <c:pt idx="3">
                <c:v>216</c:v>
              </c:pt>
              <c:pt idx="4">
                <c:v>180</c:v>
              </c:pt>
              <c:pt idx="5">
                <c:v>195</c:v>
              </c:pt>
              <c:pt idx="6">
                <c:v>469</c:v>
              </c:pt>
              <c:pt idx="7">
                <c:v>833</c:v>
              </c:pt>
              <c:pt idx="8">
                <c:v>1653</c:v>
              </c:pt>
              <c:pt idx="9">
                <c:v>2591</c:v>
              </c:pt>
              <c:pt idx="10">
                <c:v>3239</c:v>
              </c:pt>
              <c:pt idx="11">
                <c:v>3217</c:v>
              </c:pt>
              <c:pt idx="12">
                <c:v>3147</c:v>
              </c:pt>
              <c:pt idx="13">
                <c:v>3423</c:v>
              </c:pt>
              <c:pt idx="14">
                <c:v>3256</c:v>
              </c:pt>
              <c:pt idx="15">
                <c:v>3236</c:v>
              </c:pt>
              <c:pt idx="16">
                <c:v>3156</c:v>
              </c:pt>
              <c:pt idx="17">
                <c:v>2365</c:v>
              </c:pt>
              <c:pt idx="18">
                <c:v>2267</c:v>
              </c:pt>
              <c:pt idx="19">
                <c:v>2842</c:v>
              </c:pt>
              <c:pt idx="20">
                <c:v>3496</c:v>
              </c:pt>
              <c:pt idx="21">
                <c:v>3960</c:v>
              </c:pt>
              <c:pt idx="22">
                <c:v>4004</c:v>
              </c:pt>
              <c:pt idx="23">
                <c:v>2861</c:v>
              </c:pt>
              <c:pt idx="2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AB6-438B-86DB-F1514D4AB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8554319"/>
        <c:axId val="1698554799"/>
      </c:lineChart>
      <c:catAx>
        <c:axId val="169855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98554799"/>
        <c:crosses val="autoZero"/>
        <c:auto val="1"/>
        <c:lblAlgn val="ctr"/>
        <c:lblOffset val="100"/>
        <c:noMultiLvlLbl val="0"/>
      </c:catAx>
      <c:valAx>
        <c:axId val="169855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98554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[taobao_user_analysis_report.xlsx]小时维度可视化!24小时用户趋势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24</a:t>
            </a:r>
            <a:r>
              <a:rPr lang="zh-CN" altLang="en-US"/>
              <a:t>小时用户行为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4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1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1"/>
          <c:order val="1"/>
          <c:tx>
            <c:strRef>
              <c:f>小时维度可视化!$C$3</c:f>
              <c:strCache>
                <c:ptCount val="1"/>
                <c:pt idx="0">
                  <c:v>收藏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小时维度可视化!$A$4:$A$29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(空白)</c:v>
                </c:pt>
              </c:strCache>
            </c:strRef>
          </c:cat>
          <c:val>
            <c:numRef>
              <c:f>小时维度可视化!$C$4:$C$29</c:f>
              <c:numCache>
                <c:formatCode>General</c:formatCode>
                <c:ptCount val="25"/>
                <c:pt idx="0">
                  <c:v>4864</c:v>
                </c:pt>
                <c:pt idx="1">
                  <c:v>2784</c:v>
                </c:pt>
                <c:pt idx="2">
                  <c:v>1474</c:v>
                </c:pt>
                <c:pt idx="3">
                  <c:v>1002</c:v>
                </c:pt>
                <c:pt idx="4">
                  <c:v>912</c:v>
                </c:pt>
                <c:pt idx="5">
                  <c:v>937</c:v>
                </c:pt>
                <c:pt idx="6">
                  <c:v>1590</c:v>
                </c:pt>
                <c:pt idx="7">
                  <c:v>2591</c:v>
                </c:pt>
                <c:pt idx="8">
                  <c:v>3434</c:v>
                </c:pt>
                <c:pt idx="9">
                  <c:v>4674</c:v>
                </c:pt>
                <c:pt idx="10">
                  <c:v>5077</c:v>
                </c:pt>
                <c:pt idx="11">
                  <c:v>4843</c:v>
                </c:pt>
                <c:pt idx="12">
                  <c:v>4302</c:v>
                </c:pt>
                <c:pt idx="13">
                  <c:v>5193</c:v>
                </c:pt>
                <c:pt idx="14">
                  <c:v>5181</c:v>
                </c:pt>
                <c:pt idx="15">
                  <c:v>5317</c:v>
                </c:pt>
                <c:pt idx="16">
                  <c:v>4883</c:v>
                </c:pt>
                <c:pt idx="17">
                  <c:v>4212</c:v>
                </c:pt>
                <c:pt idx="18">
                  <c:v>4662</c:v>
                </c:pt>
                <c:pt idx="19">
                  <c:v>6284</c:v>
                </c:pt>
                <c:pt idx="20">
                  <c:v>7290</c:v>
                </c:pt>
                <c:pt idx="21">
                  <c:v>9104</c:v>
                </c:pt>
                <c:pt idx="22">
                  <c:v>9058</c:v>
                </c:pt>
                <c:pt idx="23">
                  <c:v>7846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43-48DB-9EC7-7045416F156A}"/>
            </c:ext>
          </c:extLst>
        </c:ser>
        <c:ser>
          <c:idx val="2"/>
          <c:order val="2"/>
          <c:tx>
            <c:strRef>
              <c:f>小时维度可视化!$D$3</c:f>
              <c:strCache>
                <c:ptCount val="1"/>
                <c:pt idx="0">
                  <c:v>加购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小时维度可视化!$A$4:$A$29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(空白)</c:v>
                </c:pt>
              </c:strCache>
            </c:strRef>
          </c:cat>
          <c:val>
            <c:numRef>
              <c:f>小时维度可视化!$D$4:$D$29</c:f>
              <c:numCache>
                <c:formatCode>General</c:formatCode>
                <c:ptCount val="25"/>
                <c:pt idx="0">
                  <c:v>6253</c:v>
                </c:pt>
                <c:pt idx="1">
                  <c:v>2985</c:v>
                </c:pt>
                <c:pt idx="2">
                  <c:v>1700</c:v>
                </c:pt>
                <c:pt idx="3">
                  <c:v>1158</c:v>
                </c:pt>
                <c:pt idx="4">
                  <c:v>977</c:v>
                </c:pt>
                <c:pt idx="5">
                  <c:v>1015</c:v>
                </c:pt>
                <c:pt idx="6">
                  <c:v>1731</c:v>
                </c:pt>
                <c:pt idx="7">
                  <c:v>3143</c:v>
                </c:pt>
                <c:pt idx="8">
                  <c:v>4442</c:v>
                </c:pt>
                <c:pt idx="9">
                  <c:v>5756</c:v>
                </c:pt>
                <c:pt idx="10">
                  <c:v>7326</c:v>
                </c:pt>
                <c:pt idx="11">
                  <c:v>6779</c:v>
                </c:pt>
                <c:pt idx="12">
                  <c:v>6697</c:v>
                </c:pt>
                <c:pt idx="13">
                  <c:v>7759</c:v>
                </c:pt>
                <c:pt idx="14">
                  <c:v>7519</c:v>
                </c:pt>
                <c:pt idx="15">
                  <c:v>7754</c:v>
                </c:pt>
                <c:pt idx="16">
                  <c:v>7160</c:v>
                </c:pt>
                <c:pt idx="17">
                  <c:v>6431</c:v>
                </c:pt>
                <c:pt idx="18">
                  <c:v>6628</c:v>
                </c:pt>
                <c:pt idx="19">
                  <c:v>8391</c:v>
                </c:pt>
                <c:pt idx="20">
                  <c:v>11107</c:v>
                </c:pt>
                <c:pt idx="21">
                  <c:v>13506</c:v>
                </c:pt>
                <c:pt idx="22">
                  <c:v>14456</c:v>
                </c:pt>
                <c:pt idx="23">
                  <c:v>12314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43-48DB-9EC7-7045416F156A}"/>
            </c:ext>
          </c:extLst>
        </c:ser>
        <c:ser>
          <c:idx val="3"/>
          <c:order val="3"/>
          <c:tx>
            <c:strRef>
              <c:f>小时维度可视化!$E$3</c:f>
              <c:strCache>
                <c:ptCount val="1"/>
                <c:pt idx="0">
                  <c:v>购买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小时维度可视化!$A$4:$A$29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(空白)</c:v>
                </c:pt>
              </c:strCache>
            </c:strRef>
          </c:cat>
          <c:val>
            <c:numRef>
              <c:f>小时维度可视化!$E$4:$E$29</c:f>
              <c:numCache>
                <c:formatCode>General</c:formatCode>
                <c:ptCount val="25"/>
                <c:pt idx="0">
                  <c:v>2205</c:v>
                </c:pt>
                <c:pt idx="1">
                  <c:v>724</c:v>
                </c:pt>
                <c:pt idx="2">
                  <c:v>371</c:v>
                </c:pt>
                <c:pt idx="3">
                  <c:v>216</c:v>
                </c:pt>
                <c:pt idx="4">
                  <c:v>180</c:v>
                </c:pt>
                <c:pt idx="5">
                  <c:v>195</c:v>
                </c:pt>
                <c:pt idx="6">
                  <c:v>469</c:v>
                </c:pt>
                <c:pt idx="7">
                  <c:v>833</c:v>
                </c:pt>
                <c:pt idx="8">
                  <c:v>1653</c:v>
                </c:pt>
                <c:pt idx="9">
                  <c:v>2591</c:v>
                </c:pt>
                <c:pt idx="10">
                  <c:v>3239</c:v>
                </c:pt>
                <c:pt idx="11">
                  <c:v>3217</c:v>
                </c:pt>
                <c:pt idx="12">
                  <c:v>3147</c:v>
                </c:pt>
                <c:pt idx="13">
                  <c:v>3423</c:v>
                </c:pt>
                <c:pt idx="14">
                  <c:v>3256</c:v>
                </c:pt>
                <c:pt idx="15">
                  <c:v>3236</c:v>
                </c:pt>
                <c:pt idx="16">
                  <c:v>3156</c:v>
                </c:pt>
                <c:pt idx="17">
                  <c:v>2365</c:v>
                </c:pt>
                <c:pt idx="18">
                  <c:v>2267</c:v>
                </c:pt>
                <c:pt idx="19">
                  <c:v>2842</c:v>
                </c:pt>
                <c:pt idx="20">
                  <c:v>3496</c:v>
                </c:pt>
                <c:pt idx="21">
                  <c:v>3960</c:v>
                </c:pt>
                <c:pt idx="22">
                  <c:v>4004</c:v>
                </c:pt>
                <c:pt idx="23">
                  <c:v>2861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D43-48DB-9EC7-7045416F15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4952895"/>
        <c:axId val="1184955775"/>
      </c:lineChart>
      <c:lineChart>
        <c:grouping val="standard"/>
        <c:varyColors val="0"/>
        <c:ser>
          <c:idx val="0"/>
          <c:order val="0"/>
          <c:tx>
            <c:strRef>
              <c:f>小时维度可视化!$B$3</c:f>
              <c:strCache>
                <c:ptCount val="1"/>
                <c:pt idx="0">
                  <c:v>浏览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小时维度可视化!$A$4:$A$29</c:f>
              <c:strCache>
                <c:ptCount val="2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(空白)</c:v>
                </c:pt>
              </c:strCache>
            </c:strRef>
          </c:cat>
          <c:val>
            <c:numRef>
              <c:f>小时维度可视化!$B$4:$B$29</c:f>
              <c:numCache>
                <c:formatCode>General</c:formatCode>
                <c:ptCount val="25"/>
                <c:pt idx="0">
                  <c:v>217699</c:v>
                </c:pt>
                <c:pt idx="1">
                  <c:v>113097</c:v>
                </c:pt>
                <c:pt idx="2">
                  <c:v>62038</c:v>
                </c:pt>
                <c:pt idx="3">
                  <c:v>41698</c:v>
                </c:pt>
                <c:pt idx="4">
                  <c:v>33509</c:v>
                </c:pt>
                <c:pt idx="5">
                  <c:v>37187</c:v>
                </c:pt>
                <c:pt idx="6">
                  <c:v>66754</c:v>
                </c:pt>
                <c:pt idx="7">
                  <c:v>121162</c:v>
                </c:pt>
                <c:pt idx="8">
                  <c:v>166484</c:v>
                </c:pt>
                <c:pt idx="9">
                  <c:v>202739</c:v>
                </c:pt>
                <c:pt idx="10">
                  <c:v>229874</c:v>
                </c:pt>
                <c:pt idx="11">
                  <c:v>219804</c:v>
                </c:pt>
                <c:pt idx="12">
                  <c:v>222506</c:v>
                </c:pt>
                <c:pt idx="13">
                  <c:v>249462</c:v>
                </c:pt>
                <c:pt idx="14">
                  <c:v>248742</c:v>
                </c:pt>
                <c:pt idx="15">
                  <c:v>250143</c:v>
                </c:pt>
                <c:pt idx="16">
                  <c:v>240669</c:v>
                </c:pt>
                <c:pt idx="17">
                  <c:v>211773</c:v>
                </c:pt>
                <c:pt idx="18">
                  <c:v>230248</c:v>
                </c:pt>
                <c:pt idx="19">
                  <c:v>310449</c:v>
                </c:pt>
                <c:pt idx="20">
                  <c:v>394276</c:v>
                </c:pt>
                <c:pt idx="21">
                  <c:v>459150</c:v>
                </c:pt>
                <c:pt idx="22">
                  <c:v>458920</c:v>
                </c:pt>
                <c:pt idx="23">
                  <c:v>357285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43-48DB-9EC7-7045416F15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4915215"/>
        <c:axId val="494907615"/>
      </c:lineChart>
      <c:catAx>
        <c:axId val="11849528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84955775"/>
        <c:crosses val="autoZero"/>
        <c:auto val="1"/>
        <c:lblAlgn val="ctr"/>
        <c:lblOffset val="100"/>
        <c:noMultiLvlLbl val="0"/>
      </c:catAx>
      <c:valAx>
        <c:axId val="118495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baseline="0"/>
                  <a:t>收藏 </a:t>
                </a:r>
                <a:r>
                  <a:rPr lang="en-US" altLang="zh-CN" sz="1000" b="0" i="0" u="none" strike="noStrike" baseline="0"/>
                  <a:t>/ </a:t>
                </a:r>
                <a:r>
                  <a:rPr lang="zh-CN" altLang="en-US" sz="1000" b="0" i="0" u="none" strike="noStrike" baseline="0"/>
                  <a:t>加购 </a:t>
                </a:r>
                <a:r>
                  <a:rPr lang="en-US" altLang="zh-CN" sz="1000" b="0" i="0" u="none" strike="noStrike" baseline="0"/>
                  <a:t>/ </a:t>
                </a:r>
                <a:r>
                  <a:rPr lang="zh-CN" altLang="en-US" sz="1000" b="0" i="0" u="none" strike="noStrike" baseline="0"/>
                  <a:t>购买次数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84952895"/>
        <c:crosses val="autoZero"/>
        <c:crossBetween val="between"/>
      </c:valAx>
      <c:valAx>
        <c:axId val="4949076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浏览次数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24915215"/>
        <c:crosses val="max"/>
        <c:crossBetween val="between"/>
      </c:valAx>
      <c:catAx>
        <c:axId val="1624915215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907615"/>
        <c:crosses val="max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5747566952361E-2"/>
          <c:y val="0.88587172614061538"/>
          <c:w val="0.47575221238938054"/>
          <c:h val="0.1113639917350756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[taobao_user_analysis_report.xlsx]星期维度可视化!数据透视表8</c:name>
    <c:fmtId val="2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星期维度可视化!$C$3</c:f>
              <c:strCache>
                <c:ptCount val="1"/>
                <c:pt idx="0">
                  <c:v>收藏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星期维度可视化!$A$4:$A$11</c:f>
              <c:strCache>
                <c:ptCount val="7"/>
                <c:pt idx="0">
                  <c:v>周一</c:v>
                </c:pt>
                <c:pt idx="1">
                  <c:v>周五</c:v>
                </c:pt>
                <c:pt idx="2">
                  <c:v>周四</c:v>
                </c:pt>
                <c:pt idx="3">
                  <c:v>周三</c:v>
                </c:pt>
                <c:pt idx="4">
                  <c:v>周日</c:v>
                </c:pt>
                <c:pt idx="5">
                  <c:v>周六</c:v>
                </c:pt>
                <c:pt idx="6">
                  <c:v>周二</c:v>
                </c:pt>
              </c:strCache>
            </c:strRef>
          </c:cat>
          <c:val>
            <c:numRef>
              <c:f>星期维度可视化!$C$4:$C$11</c:f>
              <c:numCache>
                <c:formatCode>General</c:formatCode>
                <c:ptCount val="7"/>
                <c:pt idx="0">
                  <c:v>13527</c:v>
                </c:pt>
                <c:pt idx="1">
                  <c:v>13874</c:v>
                </c:pt>
                <c:pt idx="2">
                  <c:v>17796</c:v>
                </c:pt>
                <c:pt idx="3">
                  <c:v>17147</c:v>
                </c:pt>
                <c:pt idx="4">
                  <c:v>14303</c:v>
                </c:pt>
                <c:pt idx="5">
                  <c:v>13734</c:v>
                </c:pt>
                <c:pt idx="6">
                  <c:v>17133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F2-447E-8F4B-8C2FDB23DED1}"/>
            </c:ext>
          </c:extLst>
        </c:ser>
        <c:ser>
          <c:idx val="2"/>
          <c:order val="2"/>
          <c:tx>
            <c:strRef>
              <c:f>星期维度可视化!$D$3</c:f>
              <c:strCache>
                <c:ptCount val="1"/>
                <c:pt idx="0">
                  <c:v>加购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星期维度可视化!$A$4:$A$11</c:f>
              <c:strCache>
                <c:ptCount val="7"/>
                <c:pt idx="0">
                  <c:v>周一</c:v>
                </c:pt>
                <c:pt idx="1">
                  <c:v>周五</c:v>
                </c:pt>
                <c:pt idx="2">
                  <c:v>周四</c:v>
                </c:pt>
                <c:pt idx="3">
                  <c:v>周三</c:v>
                </c:pt>
                <c:pt idx="4">
                  <c:v>周日</c:v>
                </c:pt>
                <c:pt idx="5">
                  <c:v>周六</c:v>
                </c:pt>
                <c:pt idx="6">
                  <c:v>周二</c:v>
                </c:pt>
              </c:strCache>
            </c:strRef>
          </c:cat>
          <c:val>
            <c:numRef>
              <c:f>星期维度可视化!$D$4:$D$11</c:f>
              <c:numCache>
                <c:formatCode>General</c:formatCode>
                <c:ptCount val="7"/>
                <c:pt idx="0">
                  <c:v>19085</c:v>
                </c:pt>
                <c:pt idx="1">
                  <c:v>23512</c:v>
                </c:pt>
                <c:pt idx="2">
                  <c:v>25134</c:v>
                </c:pt>
                <c:pt idx="3">
                  <c:v>23948</c:v>
                </c:pt>
                <c:pt idx="4">
                  <c:v>19037</c:v>
                </c:pt>
                <c:pt idx="5">
                  <c:v>18434</c:v>
                </c:pt>
                <c:pt idx="6">
                  <c:v>23837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F2-447E-8F4B-8C2FDB23DED1}"/>
            </c:ext>
          </c:extLst>
        </c:ser>
        <c:ser>
          <c:idx val="3"/>
          <c:order val="3"/>
          <c:tx>
            <c:strRef>
              <c:f>星期维度可视化!$E$3</c:f>
              <c:strCache>
                <c:ptCount val="1"/>
                <c:pt idx="0">
                  <c:v>购买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星期维度可视化!$A$4:$A$11</c:f>
              <c:strCache>
                <c:ptCount val="7"/>
                <c:pt idx="0">
                  <c:v>周一</c:v>
                </c:pt>
                <c:pt idx="1">
                  <c:v>周五</c:v>
                </c:pt>
                <c:pt idx="2">
                  <c:v>周四</c:v>
                </c:pt>
                <c:pt idx="3">
                  <c:v>周三</c:v>
                </c:pt>
                <c:pt idx="4">
                  <c:v>周日</c:v>
                </c:pt>
                <c:pt idx="5">
                  <c:v>周六</c:v>
                </c:pt>
                <c:pt idx="6">
                  <c:v>周二</c:v>
                </c:pt>
              </c:strCache>
            </c:strRef>
          </c:cat>
          <c:val>
            <c:numRef>
              <c:f>星期维度可视化!$E$4:$E$11</c:f>
              <c:numCache>
                <c:formatCode>General</c:formatCode>
                <c:ptCount val="7"/>
                <c:pt idx="0">
                  <c:v>6478</c:v>
                </c:pt>
                <c:pt idx="1">
                  <c:v>11243</c:v>
                </c:pt>
                <c:pt idx="2">
                  <c:v>7830</c:v>
                </c:pt>
                <c:pt idx="3">
                  <c:v>8029</c:v>
                </c:pt>
                <c:pt idx="4">
                  <c:v>6147</c:v>
                </c:pt>
                <c:pt idx="5">
                  <c:v>6163</c:v>
                </c:pt>
                <c:pt idx="6">
                  <c:v>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F2-447E-8F4B-8C2FDB23D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3705071"/>
        <c:axId val="1633706991"/>
      </c:barChart>
      <c:lineChart>
        <c:grouping val="standard"/>
        <c:varyColors val="0"/>
        <c:ser>
          <c:idx val="0"/>
          <c:order val="0"/>
          <c:tx>
            <c:strRef>
              <c:f>星期维度可视化!$B$3</c:f>
              <c:strCache>
                <c:ptCount val="1"/>
                <c:pt idx="0">
                  <c:v>浏览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星期维度可视化!$A$4:$A$11</c:f>
              <c:strCache>
                <c:ptCount val="7"/>
                <c:pt idx="0">
                  <c:v>周一</c:v>
                </c:pt>
                <c:pt idx="1">
                  <c:v>周五</c:v>
                </c:pt>
                <c:pt idx="2">
                  <c:v>周四</c:v>
                </c:pt>
                <c:pt idx="3">
                  <c:v>周三</c:v>
                </c:pt>
                <c:pt idx="4">
                  <c:v>周日</c:v>
                </c:pt>
                <c:pt idx="5">
                  <c:v>周六</c:v>
                </c:pt>
                <c:pt idx="6">
                  <c:v>周二</c:v>
                </c:pt>
              </c:strCache>
            </c:strRef>
          </c:cat>
          <c:val>
            <c:numRef>
              <c:f>星期维度可视化!$B$4:$B$11</c:f>
              <c:numCache>
                <c:formatCode>General</c:formatCode>
                <c:ptCount val="7"/>
                <c:pt idx="0">
                  <c:v>654559</c:v>
                </c:pt>
                <c:pt idx="1">
                  <c:v>722309</c:v>
                </c:pt>
                <c:pt idx="2">
                  <c:v>832966</c:v>
                </c:pt>
                <c:pt idx="3">
                  <c:v>813579</c:v>
                </c:pt>
                <c:pt idx="4">
                  <c:v>667984</c:v>
                </c:pt>
                <c:pt idx="5">
                  <c:v>641226</c:v>
                </c:pt>
                <c:pt idx="6">
                  <c:v>813045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2-447E-8F4B-8C2FDB23DED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05152959"/>
        <c:axId val="1761838431"/>
      </c:lineChart>
      <c:catAx>
        <c:axId val="163370507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33706991"/>
        <c:crosses val="autoZero"/>
        <c:auto val="1"/>
        <c:lblAlgn val="ctr"/>
        <c:lblOffset val="100"/>
        <c:noMultiLvlLbl val="0"/>
      </c:catAx>
      <c:valAx>
        <c:axId val="1633706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收藏</a:t>
                </a:r>
                <a:r>
                  <a:rPr lang="en-US" altLang="zh-CN"/>
                  <a:t>/</a:t>
                </a:r>
                <a:r>
                  <a:rPr lang="zh-CN" altLang="en-US"/>
                  <a:t>加购</a:t>
                </a:r>
                <a:r>
                  <a:rPr lang="en-US" altLang="zh-CN"/>
                  <a:t>/</a:t>
                </a:r>
                <a:r>
                  <a:rPr lang="zh-CN" altLang="en-US"/>
                  <a:t>购买次数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33705071"/>
        <c:crosses val="autoZero"/>
        <c:crossBetween val="between"/>
      </c:valAx>
      <c:valAx>
        <c:axId val="1761838431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浏览次数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05152959"/>
        <c:crosses val="max"/>
        <c:crossBetween val="between"/>
      </c:valAx>
      <c:catAx>
        <c:axId val="13051529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618384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[taobao_user_analysis_report.xlsx]用户行为可视化!数据透视表9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用户行为漏斗分布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0624727481920151E-2"/>
              <c:y val="1.846933067792755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0720719634130429E-2"/>
              <c:y val="1.46735756391106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用户行为可视化!$B$1</c:f>
              <c:strCache>
                <c:ptCount val="1"/>
                <c:pt idx="0">
                  <c:v>行为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4D-4933-995A-068232A79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BA88-4575-9DD7-893050EAED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44D-4933-995A-068232A79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88-4575-9DD7-893050EAED5F}"/>
              </c:ext>
            </c:extLst>
          </c:dPt>
          <c:dLbls>
            <c:dLbl>
              <c:idx val="1"/>
              <c:layout>
                <c:manualLayout>
                  <c:x val="1.0720719634130429E-2"/>
                  <c:y val="1.467357563911068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88-4575-9DD7-893050EAED5F}"/>
                </c:ext>
              </c:extLst>
            </c:dLbl>
            <c:dLbl>
              <c:idx val="3"/>
              <c:layout>
                <c:manualLayout>
                  <c:x val="-3.0624727481920151E-2"/>
                  <c:y val="1.846933067792755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88-4575-9DD7-893050EAED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用户行为可视化!$A$2:$A$6</c:f>
              <c:strCache>
                <c:ptCount val="4"/>
                <c:pt idx="0">
                  <c:v>购买</c:v>
                </c:pt>
                <c:pt idx="1">
                  <c:v>加购</c:v>
                </c:pt>
                <c:pt idx="2">
                  <c:v>浏览</c:v>
                </c:pt>
                <c:pt idx="3">
                  <c:v>收藏</c:v>
                </c:pt>
              </c:strCache>
            </c:strRef>
          </c:cat>
          <c:val>
            <c:numRef>
              <c:f>用户行为可视化!$B$2:$B$6</c:f>
              <c:numCache>
                <c:formatCode>General</c:formatCode>
                <c:ptCount val="4"/>
                <c:pt idx="0">
                  <c:v>53906</c:v>
                </c:pt>
                <c:pt idx="1">
                  <c:v>152987</c:v>
                </c:pt>
                <c:pt idx="2">
                  <c:v>5145668</c:v>
                </c:pt>
                <c:pt idx="3">
                  <c:v>107514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88-4575-9DD7-893050EAED5F}"/>
            </c:ext>
          </c:extLst>
        </c:ser>
        <c:ser>
          <c:idx val="1"/>
          <c:order val="1"/>
          <c:tx>
            <c:strRef>
              <c:f>用户行为可视化!$C$1</c:f>
              <c:strCache>
                <c:ptCount val="1"/>
                <c:pt idx="0">
                  <c:v>占比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44D-4933-995A-068232A79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44D-4933-995A-068232A79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44D-4933-995A-068232A79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44D-4933-995A-068232A799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用户行为可视化!$A$2:$A$6</c:f>
              <c:strCache>
                <c:ptCount val="4"/>
                <c:pt idx="0">
                  <c:v>购买</c:v>
                </c:pt>
                <c:pt idx="1">
                  <c:v>加购</c:v>
                </c:pt>
                <c:pt idx="2">
                  <c:v>浏览</c:v>
                </c:pt>
                <c:pt idx="3">
                  <c:v>收藏</c:v>
                </c:pt>
              </c:strCache>
            </c:strRef>
          </c:cat>
          <c:val>
            <c:numRef>
              <c:f>用户行为可视化!$C$2:$C$6</c:f>
              <c:numCache>
                <c:formatCode>General</c:formatCode>
                <c:ptCount val="4"/>
                <c:pt idx="0">
                  <c:v>0.99</c:v>
                </c:pt>
                <c:pt idx="1">
                  <c:v>2.8</c:v>
                </c:pt>
                <c:pt idx="2">
                  <c:v>94.24</c:v>
                </c:pt>
                <c:pt idx="3">
                  <c:v>1.97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88-4575-9DD7-893050EAED5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[taobao_user_analysis_report.xlsx]转化率可视化!数据透视表10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用户行为转化路径分析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转化率可视化!$B$1</c:f>
              <c:strCache>
                <c:ptCount val="1"/>
                <c:pt idx="0">
                  <c:v>汇总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C8A-42EF-AB9D-5DF947CA0B87}"/>
              </c:ext>
            </c:extLst>
          </c:dPt>
          <c:cat>
            <c:strRef>
              <c:f>转化率可视化!$A$2:$A$5</c:f>
              <c:strCache>
                <c:ptCount val="3"/>
                <c:pt idx="0">
                  <c:v>加购→购买</c:v>
                </c:pt>
                <c:pt idx="1">
                  <c:v>浏览→购买</c:v>
                </c:pt>
                <c:pt idx="2">
                  <c:v>收藏→购买</c:v>
                </c:pt>
              </c:strCache>
            </c:strRef>
          </c:cat>
          <c:val>
            <c:numRef>
              <c:f>转化率可视化!$B$2:$B$5</c:f>
              <c:numCache>
                <c:formatCode>General</c:formatCode>
                <c:ptCount val="3"/>
                <c:pt idx="0">
                  <c:v>87.85</c:v>
                </c:pt>
                <c:pt idx="1">
                  <c:v>80.849999999999994</c:v>
                </c:pt>
                <c:pt idx="2">
                  <c:v>87.2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8A-42EF-AB9D-5DF947CA0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9523055"/>
        <c:axId val="989514895"/>
      </c:barChart>
      <c:catAx>
        <c:axId val="98952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9514895"/>
        <c:crosses val="autoZero"/>
        <c:auto val="1"/>
        <c:lblAlgn val="ctr"/>
        <c:lblOffset val="100"/>
        <c:noMultiLvlLbl val="0"/>
      </c:catAx>
      <c:valAx>
        <c:axId val="989514895"/>
        <c:scaling>
          <c:orientation val="minMax"/>
          <c:min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9523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[taobao_user_analysis_report.xlsx]rfm分层可视化!数据透视表1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rfm分层可视化!$B$3</c:f>
              <c:strCache>
                <c:ptCount val="1"/>
                <c:pt idx="0">
                  <c:v>1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D9-4421-ABE4-A961FACC1E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D9-4421-ABE4-A961FACC1E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D9-4421-ABE4-A961FACC1E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rfm分层可视化!$A$4:$A$7</c:f>
              <c:strCache>
                <c:ptCount val="3"/>
                <c:pt idx="0">
                  <c:v>高价值用户</c:v>
                </c:pt>
                <c:pt idx="1">
                  <c:v>流失用户</c:v>
                </c:pt>
                <c:pt idx="2">
                  <c:v>挽留用户</c:v>
                </c:pt>
              </c:strCache>
            </c:strRef>
          </c:cat>
          <c:val>
            <c:numRef>
              <c:f>rfm分层可视化!$B$4:$B$7</c:f>
              <c:numCache>
                <c:formatCode>General</c:formatCode>
                <c:ptCount val="3"/>
                <c:pt idx="0">
                  <c:v>4145</c:v>
                </c:pt>
                <c:pt idx="1">
                  <c:v>2670</c:v>
                </c:pt>
                <c:pt idx="2">
                  <c:v>1264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BC-4747-8551-71EA3E85A69D}"/>
            </c:ext>
          </c:extLst>
        </c:ser>
        <c:ser>
          <c:idx val="1"/>
          <c:order val="1"/>
          <c:tx>
            <c:strRef>
              <c:f>rfm分层可视化!$C$3</c:f>
              <c:strCache>
                <c:ptCount val="1"/>
                <c:pt idx="0">
                  <c:v>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D9-4421-ABE4-A961FACC1E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D9-4421-ABE4-A961FACC1E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D9-4421-ABE4-A961FACC1E05}"/>
              </c:ext>
            </c:extLst>
          </c:dPt>
          <c:cat>
            <c:strRef>
              <c:f>rfm分层可视化!$A$4:$A$7</c:f>
              <c:strCache>
                <c:ptCount val="3"/>
                <c:pt idx="0">
                  <c:v>高价值用户</c:v>
                </c:pt>
                <c:pt idx="1">
                  <c:v>流失用户</c:v>
                </c:pt>
                <c:pt idx="2">
                  <c:v>挽留用户</c:v>
                </c:pt>
              </c:strCache>
            </c:strRef>
          </c:cat>
          <c:val>
            <c:numRef>
              <c:f>rfm分层可视化!$C$4:$C$7</c:f>
              <c:numCache>
                <c:formatCode>General</c:formatCode>
                <c:ptCount val="3"/>
                <c:pt idx="0">
                  <c:v>51.31</c:v>
                </c:pt>
                <c:pt idx="1">
                  <c:v>33.049999999999997</c:v>
                </c:pt>
                <c:pt idx="2">
                  <c:v>15.65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BC-4747-8551-71EA3E85A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[taobao_user_analysis_report.xlsx]商品类目可视化!数据透视表2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商品类目可视化!$B$3</c:f>
              <c:strCache>
                <c:ptCount val="1"/>
                <c:pt idx="0">
                  <c:v>求和项:类目转化率_百分比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商品类目可视化!$A$4:$A$24</c:f>
              <c:strCache>
                <c:ptCount val="20"/>
                <c:pt idx="0">
                  <c:v>1742</c:v>
                </c:pt>
                <c:pt idx="1">
                  <c:v>1911</c:v>
                </c:pt>
                <c:pt idx="2">
                  <c:v>2510</c:v>
                </c:pt>
                <c:pt idx="3">
                  <c:v>2949</c:v>
                </c:pt>
                <c:pt idx="4">
                  <c:v>3654</c:v>
                </c:pt>
                <c:pt idx="5">
                  <c:v>4466</c:v>
                </c:pt>
                <c:pt idx="6">
                  <c:v>4560</c:v>
                </c:pt>
                <c:pt idx="7">
                  <c:v>4751</c:v>
                </c:pt>
                <c:pt idx="8">
                  <c:v>4776</c:v>
                </c:pt>
                <c:pt idx="9">
                  <c:v>5746</c:v>
                </c:pt>
                <c:pt idx="10">
                  <c:v>5897</c:v>
                </c:pt>
                <c:pt idx="11">
                  <c:v>6836</c:v>
                </c:pt>
                <c:pt idx="12">
                  <c:v>7942</c:v>
                </c:pt>
                <c:pt idx="13">
                  <c:v>10121</c:v>
                </c:pt>
                <c:pt idx="14">
                  <c:v>10761</c:v>
                </c:pt>
                <c:pt idx="15">
                  <c:v>10873</c:v>
                </c:pt>
                <c:pt idx="16">
                  <c:v>11604</c:v>
                </c:pt>
                <c:pt idx="17">
                  <c:v>12309</c:v>
                </c:pt>
                <c:pt idx="18">
                  <c:v>12514</c:v>
                </c:pt>
                <c:pt idx="19">
                  <c:v>13056</c:v>
                </c:pt>
              </c:strCache>
            </c:strRef>
          </c:cat>
          <c:val>
            <c:numRef>
              <c:f>商品类目可视化!$B$4:$B$24</c:f>
              <c:numCache>
                <c:formatCode>General</c:formatCode>
                <c:ptCount val="20"/>
                <c:pt idx="0">
                  <c:v>7.96</c:v>
                </c:pt>
                <c:pt idx="1">
                  <c:v>9.5</c:v>
                </c:pt>
                <c:pt idx="2">
                  <c:v>9.77</c:v>
                </c:pt>
                <c:pt idx="3">
                  <c:v>25.85</c:v>
                </c:pt>
                <c:pt idx="4">
                  <c:v>8</c:v>
                </c:pt>
                <c:pt idx="5">
                  <c:v>9.66</c:v>
                </c:pt>
                <c:pt idx="6">
                  <c:v>7.68</c:v>
                </c:pt>
                <c:pt idx="7">
                  <c:v>9.39</c:v>
                </c:pt>
                <c:pt idx="8">
                  <c:v>7.89</c:v>
                </c:pt>
                <c:pt idx="9">
                  <c:v>8.89</c:v>
                </c:pt>
                <c:pt idx="10">
                  <c:v>7.95</c:v>
                </c:pt>
                <c:pt idx="11">
                  <c:v>8.57</c:v>
                </c:pt>
                <c:pt idx="12">
                  <c:v>7.96</c:v>
                </c:pt>
                <c:pt idx="13">
                  <c:v>8.2899999999999991</c:v>
                </c:pt>
                <c:pt idx="14">
                  <c:v>10.4</c:v>
                </c:pt>
                <c:pt idx="15">
                  <c:v>10</c:v>
                </c:pt>
                <c:pt idx="16">
                  <c:v>10</c:v>
                </c:pt>
                <c:pt idx="17">
                  <c:v>10.43</c:v>
                </c:pt>
                <c:pt idx="18">
                  <c:v>7.99</c:v>
                </c:pt>
                <c:pt idx="1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7-4C15-BF60-76376E0444B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9383328"/>
        <c:axId val="79383808"/>
      </c:barChart>
      <c:lineChart>
        <c:grouping val="standard"/>
        <c:varyColors val="0"/>
        <c:ser>
          <c:idx val="1"/>
          <c:order val="1"/>
          <c:tx>
            <c:strRef>
              <c:f>商品类目可视化!$C$3</c:f>
              <c:strCache>
                <c:ptCount val="1"/>
                <c:pt idx="0">
                  <c:v>求和项:浏览次数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商品类目可视化!$A$4:$A$24</c:f>
              <c:strCache>
                <c:ptCount val="20"/>
                <c:pt idx="0">
                  <c:v>1742</c:v>
                </c:pt>
                <c:pt idx="1">
                  <c:v>1911</c:v>
                </c:pt>
                <c:pt idx="2">
                  <c:v>2510</c:v>
                </c:pt>
                <c:pt idx="3">
                  <c:v>2949</c:v>
                </c:pt>
                <c:pt idx="4">
                  <c:v>3654</c:v>
                </c:pt>
                <c:pt idx="5">
                  <c:v>4466</c:v>
                </c:pt>
                <c:pt idx="6">
                  <c:v>4560</c:v>
                </c:pt>
                <c:pt idx="7">
                  <c:v>4751</c:v>
                </c:pt>
                <c:pt idx="8">
                  <c:v>4776</c:v>
                </c:pt>
                <c:pt idx="9">
                  <c:v>5746</c:v>
                </c:pt>
                <c:pt idx="10">
                  <c:v>5897</c:v>
                </c:pt>
                <c:pt idx="11">
                  <c:v>6836</c:v>
                </c:pt>
                <c:pt idx="12">
                  <c:v>7942</c:v>
                </c:pt>
                <c:pt idx="13">
                  <c:v>10121</c:v>
                </c:pt>
                <c:pt idx="14">
                  <c:v>10761</c:v>
                </c:pt>
                <c:pt idx="15">
                  <c:v>10873</c:v>
                </c:pt>
                <c:pt idx="16">
                  <c:v>11604</c:v>
                </c:pt>
                <c:pt idx="17">
                  <c:v>12309</c:v>
                </c:pt>
                <c:pt idx="18">
                  <c:v>12514</c:v>
                </c:pt>
                <c:pt idx="19">
                  <c:v>13056</c:v>
                </c:pt>
              </c:strCache>
            </c:strRef>
          </c:cat>
          <c:val>
            <c:numRef>
              <c:f>商品类目可视化!$C$4:$C$24</c:f>
              <c:numCache>
                <c:formatCode>General</c:formatCode>
                <c:ptCount val="20"/>
                <c:pt idx="0">
                  <c:v>113</c:v>
                </c:pt>
                <c:pt idx="1">
                  <c:v>358</c:v>
                </c:pt>
                <c:pt idx="2">
                  <c:v>174</c:v>
                </c:pt>
                <c:pt idx="3">
                  <c:v>646</c:v>
                </c:pt>
                <c:pt idx="4">
                  <c:v>125</c:v>
                </c:pt>
                <c:pt idx="5">
                  <c:v>145</c:v>
                </c:pt>
                <c:pt idx="6">
                  <c:v>938</c:v>
                </c:pt>
                <c:pt idx="7">
                  <c:v>213</c:v>
                </c:pt>
                <c:pt idx="8">
                  <c:v>279</c:v>
                </c:pt>
                <c:pt idx="9">
                  <c:v>270</c:v>
                </c:pt>
                <c:pt idx="10">
                  <c:v>151</c:v>
                </c:pt>
                <c:pt idx="11">
                  <c:v>140</c:v>
                </c:pt>
                <c:pt idx="12">
                  <c:v>113</c:v>
                </c:pt>
                <c:pt idx="13">
                  <c:v>1424</c:v>
                </c:pt>
                <c:pt idx="14">
                  <c:v>173</c:v>
                </c:pt>
                <c:pt idx="15">
                  <c:v>100</c:v>
                </c:pt>
                <c:pt idx="16">
                  <c:v>150</c:v>
                </c:pt>
                <c:pt idx="17">
                  <c:v>115</c:v>
                </c:pt>
                <c:pt idx="18">
                  <c:v>338</c:v>
                </c:pt>
                <c:pt idx="19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87-4C15-BF60-76376E0444B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81068048"/>
        <c:axId val="1510003120"/>
      </c:lineChart>
      <c:catAx>
        <c:axId val="7938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383808"/>
        <c:crosses val="autoZero"/>
        <c:auto val="1"/>
        <c:lblAlgn val="ctr"/>
        <c:lblOffset val="100"/>
        <c:noMultiLvlLbl val="0"/>
      </c:catAx>
      <c:valAx>
        <c:axId val="7938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383328"/>
        <c:crosses val="autoZero"/>
        <c:crossBetween val="between"/>
      </c:valAx>
      <c:valAx>
        <c:axId val="151000312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1068048"/>
        <c:crosses val="max"/>
        <c:crossBetween val="between"/>
      </c:valAx>
      <c:catAx>
        <c:axId val="15810680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100031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7</xdr:row>
      <xdr:rowOff>0</xdr:rowOff>
    </xdr:from>
    <xdr:to>
      <xdr:col>13</xdr:col>
      <xdr:colOff>571500</xdr:colOff>
      <xdr:row>26</xdr:row>
      <xdr:rowOff>142875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CB507F63-757B-ABB7-5A8B-19A6E497B4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42862</xdr:colOff>
      <xdr:row>39</xdr:row>
      <xdr:rowOff>61912</xdr:rowOff>
    </xdr:from>
    <xdr:to>
      <xdr:col>7</xdr:col>
      <xdr:colOff>1042987</xdr:colOff>
      <xdr:row>54</xdr:row>
      <xdr:rowOff>90487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F6EE2A97-A553-9937-EEAC-ABE0540E8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242887</xdr:colOff>
      <xdr:row>40</xdr:row>
      <xdr:rowOff>4762</xdr:rowOff>
    </xdr:from>
    <xdr:to>
      <xdr:col>12</xdr:col>
      <xdr:colOff>547687</xdr:colOff>
      <xdr:row>55</xdr:row>
      <xdr:rowOff>33337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2B2FAAFE-46F6-B05E-7B32-A465312775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1133475</xdr:colOff>
      <xdr:row>11</xdr:row>
      <xdr:rowOff>142875</xdr:rowOff>
    </xdr:from>
    <xdr:to>
      <xdr:col>18</xdr:col>
      <xdr:colOff>1057275</xdr:colOff>
      <xdr:row>31</xdr:row>
      <xdr:rowOff>104775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8E5CCF80-58CB-48F6-9995-468E6B7EEE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114301</xdr:colOff>
      <xdr:row>12</xdr:row>
      <xdr:rowOff>123824</xdr:rowOff>
    </xdr:from>
    <xdr:to>
      <xdr:col>12</xdr:col>
      <xdr:colOff>104775</xdr:colOff>
      <xdr:row>32</xdr:row>
      <xdr:rowOff>19049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C3D2BFC7-D7AA-1D4C-6C00-D1AEE64F5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633411</xdr:colOff>
      <xdr:row>7</xdr:row>
      <xdr:rowOff>76199</xdr:rowOff>
    </xdr:from>
    <xdr:to>
      <xdr:col>10</xdr:col>
      <xdr:colOff>161925</xdr:colOff>
      <xdr:row>29</xdr:row>
      <xdr:rowOff>161924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9257F9B-B6D4-D107-671B-C073AE35E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10</xdr:col>
      <xdr:colOff>457200</xdr:colOff>
      <xdr:row>16</xdr:row>
      <xdr:rowOff>28575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5863D0E-8751-E83F-314F-6D66A815FF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252411</xdr:colOff>
      <xdr:row>7</xdr:row>
      <xdr:rowOff>166687</xdr:rowOff>
    </xdr:from>
    <xdr:to>
      <xdr:col>12</xdr:col>
      <xdr:colOff>485774</xdr:colOff>
      <xdr:row>24</xdr:row>
      <xdr:rowOff>171450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494A012-F84F-3A66-5195-30D74BC49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357186</xdr:colOff>
      <xdr:row>3</xdr:row>
      <xdr:rowOff>176212</xdr:rowOff>
    </xdr:from>
    <xdr:to>
      <xdr:col>21</xdr:col>
      <xdr:colOff>266700</xdr:colOff>
      <xdr:row>25</xdr:row>
      <xdr:rowOff>171450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F16F52B-191C-FF62-FF15-9E83645E52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龙建文" refreshedDate="46090.549059027777" createdVersion="8" refreshedVersion="8" minRefreshableVersion="3" recordCount="28" xr:uid="{8F97256F-149A-432F-94C3-E59924AB4B1F}">
  <cacheSource type="worksheet">
    <worksheetSource ref="A1:E1048576" sheet="小时行为维度分布"/>
  </cacheSource>
  <cacheFields count="5">
    <cacheField name="小时" numFmtId="0">
      <sharedItems containsString="0" containsBlank="1" containsNumber="1" containsInteger="1" minValue="0" maxValue="23" count="2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m/>
      </sharedItems>
    </cacheField>
    <cacheField name="浏览次数" numFmtId="0">
      <sharedItems containsString="0" containsBlank="1" containsNumber="1" containsInteger="1" minValue="33509" maxValue="459150" count="25">
        <n v="217699"/>
        <n v="113097"/>
        <n v="62038"/>
        <n v="41698"/>
        <n v="33509"/>
        <n v="37187"/>
        <n v="66754"/>
        <n v="121162"/>
        <n v="166484"/>
        <n v="202739"/>
        <n v="229874"/>
        <n v="219804"/>
        <n v="222506"/>
        <n v="249462"/>
        <n v="248742"/>
        <n v="250143"/>
        <n v="240669"/>
        <n v="211773"/>
        <n v="230248"/>
        <n v="310449"/>
        <n v="394276"/>
        <n v="459150"/>
        <n v="458920"/>
        <n v="357285"/>
        <m/>
      </sharedItems>
    </cacheField>
    <cacheField name="收藏次数" numFmtId="0">
      <sharedItems containsString="0" containsBlank="1" containsNumber="1" containsInteger="1" minValue="912" maxValue="9104" count="25">
        <n v="4864"/>
        <n v="2784"/>
        <n v="1474"/>
        <n v="1002"/>
        <n v="912"/>
        <n v="937"/>
        <n v="1590"/>
        <n v="2591"/>
        <n v="3434"/>
        <n v="4674"/>
        <n v="5077"/>
        <n v="4843"/>
        <n v="4302"/>
        <n v="5193"/>
        <n v="5181"/>
        <n v="5317"/>
        <n v="4883"/>
        <n v="4212"/>
        <n v="4662"/>
        <n v="6284"/>
        <n v="7290"/>
        <n v="9104"/>
        <n v="9058"/>
        <n v="7846"/>
        <m/>
      </sharedItems>
    </cacheField>
    <cacheField name="加购次数" numFmtId="0">
      <sharedItems containsString="0" containsBlank="1" containsNumber="1" containsInteger="1" minValue="977" maxValue="14456" count="25">
        <n v="6253"/>
        <n v="2985"/>
        <n v="1700"/>
        <n v="1158"/>
        <n v="977"/>
        <n v="1015"/>
        <n v="1731"/>
        <n v="3143"/>
        <n v="4442"/>
        <n v="5756"/>
        <n v="7326"/>
        <n v="6779"/>
        <n v="6697"/>
        <n v="7759"/>
        <n v="7519"/>
        <n v="7754"/>
        <n v="7160"/>
        <n v="6431"/>
        <n v="6628"/>
        <n v="8391"/>
        <n v="11107"/>
        <n v="13506"/>
        <n v="14456"/>
        <n v="12314"/>
        <m/>
      </sharedItems>
    </cacheField>
    <cacheField name="购买次数" numFmtId="0">
      <sharedItems containsString="0" containsBlank="1" containsNumber="1" containsInteger="1" minValue="180" maxValue="4004" count="25">
        <n v="2205"/>
        <n v="724"/>
        <n v="371"/>
        <n v="216"/>
        <n v="180"/>
        <n v="195"/>
        <n v="469"/>
        <n v="833"/>
        <n v="1653"/>
        <n v="2591"/>
        <n v="3239"/>
        <n v="3217"/>
        <n v="3147"/>
        <n v="3423"/>
        <n v="3256"/>
        <n v="3236"/>
        <n v="3156"/>
        <n v="2365"/>
        <n v="2267"/>
        <n v="2842"/>
        <n v="3496"/>
        <n v="3960"/>
        <n v="4004"/>
        <n v="2861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龙建文" refreshedDate="46090.576970023147" createdVersion="8" refreshedVersion="8" minRefreshableVersion="3" recordCount="7" xr:uid="{5093610D-58CF-42BF-9AAD-41B89E59AC5A}">
  <cacheSource type="worksheet">
    <worksheetSource name="星期维度行为分布"/>
  </cacheSource>
  <cacheFields count="5">
    <cacheField name="星期" numFmtId="0">
      <sharedItems count="7">
        <s v="周一"/>
        <s v="周二"/>
        <s v="周三"/>
        <s v="周四"/>
        <s v="周五"/>
        <s v="周六"/>
        <s v="周日"/>
      </sharedItems>
    </cacheField>
    <cacheField name="浏览次数" numFmtId="0">
      <sharedItems containsSemiMixedTypes="0" containsString="0" containsNumber="1" containsInteger="1" minValue="641226" maxValue="832966"/>
    </cacheField>
    <cacheField name="收藏次数" numFmtId="0">
      <sharedItems containsSemiMixedTypes="0" containsString="0" containsNumber="1" containsInteger="1" minValue="13527" maxValue="17796"/>
    </cacheField>
    <cacheField name="加购次数" numFmtId="0">
      <sharedItems containsSemiMixedTypes="0" containsString="0" containsNumber="1" containsInteger="1" minValue="18434" maxValue="25134"/>
    </cacheField>
    <cacheField name="购买次数" numFmtId="0">
      <sharedItems containsSemiMixedTypes="0" containsString="0" containsNumber="1" containsInteger="1" minValue="6147" maxValue="112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龙建文" refreshedDate="46090.590864467595" createdVersion="8" refreshedVersion="8" minRefreshableVersion="3" recordCount="4" xr:uid="{F4003323-795F-416C-AA91-D7FE7C4FEB95}">
  <cacheSource type="worksheet">
    <worksheetSource name="用户行为分布分析"/>
  </cacheSource>
  <cacheFields count="3">
    <cacheField name="行为类型" numFmtId="0">
      <sharedItems count="4">
        <s v="浏览"/>
        <s v="收藏"/>
        <s v="加购"/>
        <s v="购买"/>
      </sharedItems>
    </cacheField>
    <cacheField name="行为次数" numFmtId="0">
      <sharedItems containsSemiMixedTypes="0" containsString="0" containsNumber="1" containsInteger="1" minValue="53906" maxValue="5145668"/>
    </cacheField>
    <cacheField name="占比_百分比" numFmtId="0">
      <sharedItems containsSemiMixedTypes="0" containsString="0" containsNumber="1" minValue="0.99" maxValue="94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龙建文" refreshedDate="46090.595456134259" createdVersion="8" refreshedVersion="8" minRefreshableVersion="3" recordCount="3" xr:uid="{5D5D7065-57F9-4D2D-8166-CD3C3567A594}">
  <cacheSource type="worksheet">
    <worksheetSource name="转化率分析"/>
  </cacheSource>
  <cacheFields count="4">
    <cacheField name="转化路径" numFmtId="0">
      <sharedItems count="3">
        <s v="浏览→购买"/>
        <s v="收藏→购买"/>
        <s v="加购→购买"/>
      </sharedItems>
    </cacheField>
    <cacheField name="上游行为用户数" numFmtId="0">
      <sharedItems containsSemiMixedTypes="0" containsString="0" containsNumber="1" containsInteger="1" minValue="5679" maxValue="9993"/>
    </cacheField>
    <cacheField name="购买用户数" numFmtId="0">
      <sharedItems containsSemiMixedTypes="0" containsString="0" containsNumber="1" containsInteger="1" minValue="4952" maxValue="8079"/>
    </cacheField>
    <cacheField name="转化率_百分比" numFmtId="0">
      <sharedItems containsSemiMixedTypes="0" containsString="0" containsNumber="1" minValue="80.849999999999994" maxValue="87.8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龙建文" refreshedDate="46092.588788194444" createdVersion="8" refreshedVersion="8" minRefreshableVersion="3" recordCount="3" xr:uid="{705D7422-4A6A-465F-8BE6-ECC63F7B21CA}">
  <cacheSource type="worksheet">
    <worksheetSource name="rfm分层"/>
  </cacheSource>
  <cacheFields count="3">
    <cacheField name="user_level" numFmtId="0">
      <sharedItems count="3">
        <s v="流失用户"/>
        <s v="高价值用户"/>
        <s v="挽留用户"/>
      </sharedItems>
    </cacheField>
    <cacheField name="user_count" numFmtId="0">
      <sharedItems containsSemiMixedTypes="0" containsString="0" containsNumber="1" containsInteger="1" minValue="1264" maxValue="4145"/>
    </cacheField>
    <cacheField name="user_ratio" numFmtId="0">
      <sharedItems containsSemiMixedTypes="0" containsString="0" containsNumber="1" minValue="15.65" maxValue="51.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龙建文" refreshedDate="46092.590151157405" createdVersion="8" refreshedVersion="8" minRefreshableVersion="3" recordCount="20" xr:uid="{DE62D529-94E1-4070-ABC5-2F72539DA148}">
  <cacheSource type="worksheet">
    <worksheetSource name="商品类目"/>
  </cacheSource>
  <cacheFields count="5">
    <cacheField name="商品类目ID" numFmtId="0">
      <sharedItems containsSemiMixedTypes="0" containsString="0" containsNumber="1" containsInteger="1" minValue="1742" maxValue="13056" count="20">
        <n v="2949"/>
        <n v="13056"/>
        <n v="12309"/>
        <n v="10761"/>
        <n v="11604"/>
        <n v="10873"/>
        <n v="2510"/>
        <n v="4466"/>
        <n v="1911"/>
        <n v="4751"/>
        <n v="5746"/>
        <n v="6836"/>
        <n v="10121"/>
        <n v="3654"/>
        <n v="12514"/>
        <n v="1742"/>
        <n v="7942"/>
        <n v="5897"/>
        <n v="4776"/>
        <n v="4560"/>
      </sharedItems>
    </cacheField>
    <cacheField name="浏览次数" numFmtId="0">
      <sharedItems containsSemiMixedTypes="0" containsString="0" containsNumber="1" containsInteger="1" minValue="100" maxValue="1424" count="18">
        <n v="646"/>
        <n v="100"/>
        <n v="115"/>
        <n v="173"/>
        <n v="150"/>
        <n v="174"/>
        <n v="145"/>
        <n v="358"/>
        <n v="213"/>
        <n v="270"/>
        <n v="140"/>
        <n v="1424"/>
        <n v="125"/>
        <n v="338"/>
        <n v="113"/>
        <n v="151"/>
        <n v="279"/>
        <n v="938"/>
      </sharedItems>
    </cacheField>
    <cacheField name="加购次数" numFmtId="0">
      <sharedItems containsSemiMixedTypes="0" containsString="0" containsNumber="1" containsInteger="1" minValue="0" maxValue="113" count="15">
        <n v="11"/>
        <n v="12"/>
        <n v="0"/>
        <n v="20"/>
        <n v="28"/>
        <n v="9"/>
        <n v="32"/>
        <n v="18"/>
        <n v="34"/>
        <n v="7"/>
        <n v="24"/>
        <n v="2"/>
        <n v="23"/>
        <n v="10"/>
        <n v="113"/>
      </sharedItems>
    </cacheField>
    <cacheField name="购买次数" numFmtId="0">
      <sharedItems containsSemiMixedTypes="0" containsString="0" containsNumber="1" containsInteger="1" minValue="9" maxValue="167" count="16">
        <n v="167"/>
        <n v="11"/>
        <n v="12"/>
        <n v="18"/>
        <n v="15"/>
        <n v="10"/>
        <n v="17"/>
        <n v="14"/>
        <n v="34"/>
        <n v="20"/>
        <n v="24"/>
        <n v="118"/>
        <n v="27"/>
        <n v="9"/>
        <n v="22"/>
        <n v="72"/>
      </sharedItems>
    </cacheField>
    <cacheField name="类目转化率_百分比" numFmtId="0">
      <sharedItems containsSemiMixedTypes="0" containsString="0" containsNumber="1" minValue="7.68" maxValue="25.85" count="18">
        <n v="25.85"/>
        <n v="11"/>
        <n v="10.43"/>
        <n v="10.4"/>
        <n v="10"/>
        <n v="9.77"/>
        <n v="9.66"/>
        <n v="9.5"/>
        <n v="9.39"/>
        <n v="8.89"/>
        <n v="8.57"/>
        <n v="8.2899999999999991"/>
        <n v="8"/>
        <n v="7.99"/>
        <n v="7.96"/>
        <n v="7.95"/>
        <n v="7.89"/>
        <n v="7.6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4"/>
    <x v="4"/>
    <x v="4"/>
    <x v="4"/>
    <x v="4"/>
  </r>
  <r>
    <x v="5"/>
    <x v="5"/>
    <x v="5"/>
    <x v="5"/>
    <x v="5"/>
  </r>
  <r>
    <x v="6"/>
    <x v="6"/>
    <x v="6"/>
    <x v="6"/>
    <x v="6"/>
  </r>
  <r>
    <x v="7"/>
    <x v="7"/>
    <x v="7"/>
    <x v="7"/>
    <x v="7"/>
  </r>
  <r>
    <x v="8"/>
    <x v="8"/>
    <x v="8"/>
    <x v="8"/>
    <x v="8"/>
  </r>
  <r>
    <x v="9"/>
    <x v="9"/>
    <x v="9"/>
    <x v="9"/>
    <x v="9"/>
  </r>
  <r>
    <x v="10"/>
    <x v="10"/>
    <x v="10"/>
    <x v="10"/>
    <x v="10"/>
  </r>
  <r>
    <x v="11"/>
    <x v="11"/>
    <x v="11"/>
    <x v="11"/>
    <x v="11"/>
  </r>
  <r>
    <x v="12"/>
    <x v="12"/>
    <x v="12"/>
    <x v="12"/>
    <x v="12"/>
  </r>
  <r>
    <x v="13"/>
    <x v="13"/>
    <x v="13"/>
    <x v="13"/>
    <x v="13"/>
  </r>
  <r>
    <x v="14"/>
    <x v="14"/>
    <x v="14"/>
    <x v="14"/>
    <x v="14"/>
  </r>
  <r>
    <x v="15"/>
    <x v="15"/>
    <x v="15"/>
    <x v="15"/>
    <x v="15"/>
  </r>
  <r>
    <x v="16"/>
    <x v="16"/>
    <x v="16"/>
    <x v="16"/>
    <x v="16"/>
  </r>
  <r>
    <x v="17"/>
    <x v="17"/>
    <x v="17"/>
    <x v="17"/>
    <x v="17"/>
  </r>
  <r>
    <x v="18"/>
    <x v="18"/>
    <x v="18"/>
    <x v="18"/>
    <x v="18"/>
  </r>
  <r>
    <x v="19"/>
    <x v="19"/>
    <x v="19"/>
    <x v="19"/>
    <x v="19"/>
  </r>
  <r>
    <x v="20"/>
    <x v="20"/>
    <x v="20"/>
    <x v="20"/>
    <x v="20"/>
  </r>
  <r>
    <x v="21"/>
    <x v="21"/>
    <x v="21"/>
    <x v="21"/>
    <x v="21"/>
  </r>
  <r>
    <x v="22"/>
    <x v="22"/>
    <x v="22"/>
    <x v="22"/>
    <x v="22"/>
  </r>
  <r>
    <x v="23"/>
    <x v="23"/>
    <x v="23"/>
    <x v="23"/>
    <x v="23"/>
  </r>
  <r>
    <x v="24"/>
    <x v="24"/>
    <x v="24"/>
    <x v="24"/>
    <x v="24"/>
  </r>
  <r>
    <x v="24"/>
    <x v="24"/>
    <x v="24"/>
    <x v="24"/>
    <x v="24"/>
  </r>
  <r>
    <x v="24"/>
    <x v="24"/>
    <x v="24"/>
    <x v="24"/>
    <x v="24"/>
  </r>
  <r>
    <x v="24"/>
    <x v="24"/>
    <x v="24"/>
    <x v="24"/>
    <x v="2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n v="654559"/>
    <n v="13527"/>
    <n v="19085"/>
    <n v="6478"/>
  </r>
  <r>
    <x v="1"/>
    <n v="813045"/>
    <n v="17133"/>
    <n v="23837"/>
    <n v="8016"/>
  </r>
  <r>
    <x v="2"/>
    <n v="813579"/>
    <n v="17147"/>
    <n v="23948"/>
    <n v="8029"/>
  </r>
  <r>
    <x v="3"/>
    <n v="832966"/>
    <n v="17796"/>
    <n v="25134"/>
    <n v="7830"/>
  </r>
  <r>
    <x v="4"/>
    <n v="722309"/>
    <n v="13874"/>
    <n v="23512"/>
    <n v="11243"/>
  </r>
  <r>
    <x v="5"/>
    <n v="641226"/>
    <n v="13734"/>
    <n v="18434"/>
    <n v="6163"/>
  </r>
  <r>
    <x v="6"/>
    <n v="667984"/>
    <n v="14303"/>
    <n v="19037"/>
    <n v="614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5145668"/>
    <n v="94.24"/>
  </r>
  <r>
    <x v="1"/>
    <n v="107514"/>
    <n v="1.97"/>
  </r>
  <r>
    <x v="2"/>
    <n v="152987"/>
    <n v="2.8"/>
  </r>
  <r>
    <x v="3"/>
    <n v="53906"/>
    <n v="0.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9993"/>
    <n v="8079"/>
    <n v="80.849999999999994"/>
  </r>
  <r>
    <x v="1"/>
    <n v="5679"/>
    <n v="4952"/>
    <n v="87.2"/>
  </r>
  <r>
    <x v="2"/>
    <n v="7962"/>
    <n v="6995"/>
    <n v="87.8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2670"/>
    <n v="33.049999999999997"/>
  </r>
  <r>
    <x v="1"/>
    <n v="4145"/>
    <n v="51.31"/>
  </r>
  <r>
    <x v="2"/>
    <n v="1264"/>
    <n v="15.65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4"/>
    <x v="4"/>
    <x v="4"/>
    <x v="4"/>
    <x v="4"/>
  </r>
  <r>
    <x v="5"/>
    <x v="1"/>
    <x v="5"/>
    <x v="5"/>
    <x v="4"/>
  </r>
  <r>
    <x v="6"/>
    <x v="5"/>
    <x v="6"/>
    <x v="6"/>
    <x v="5"/>
  </r>
  <r>
    <x v="7"/>
    <x v="6"/>
    <x v="7"/>
    <x v="7"/>
    <x v="6"/>
  </r>
  <r>
    <x v="8"/>
    <x v="7"/>
    <x v="2"/>
    <x v="8"/>
    <x v="7"/>
  </r>
  <r>
    <x v="9"/>
    <x v="8"/>
    <x v="3"/>
    <x v="9"/>
    <x v="8"/>
  </r>
  <r>
    <x v="10"/>
    <x v="9"/>
    <x v="8"/>
    <x v="10"/>
    <x v="9"/>
  </r>
  <r>
    <x v="11"/>
    <x v="10"/>
    <x v="9"/>
    <x v="2"/>
    <x v="10"/>
  </r>
  <r>
    <x v="12"/>
    <x v="11"/>
    <x v="2"/>
    <x v="11"/>
    <x v="11"/>
  </r>
  <r>
    <x v="13"/>
    <x v="12"/>
    <x v="10"/>
    <x v="5"/>
    <x v="12"/>
  </r>
  <r>
    <x v="14"/>
    <x v="13"/>
    <x v="2"/>
    <x v="12"/>
    <x v="13"/>
  </r>
  <r>
    <x v="15"/>
    <x v="14"/>
    <x v="11"/>
    <x v="13"/>
    <x v="14"/>
  </r>
  <r>
    <x v="16"/>
    <x v="14"/>
    <x v="12"/>
    <x v="13"/>
    <x v="14"/>
  </r>
  <r>
    <x v="17"/>
    <x v="15"/>
    <x v="13"/>
    <x v="2"/>
    <x v="15"/>
  </r>
  <r>
    <x v="18"/>
    <x v="16"/>
    <x v="9"/>
    <x v="14"/>
    <x v="16"/>
  </r>
  <r>
    <x v="19"/>
    <x v="17"/>
    <x v="14"/>
    <x v="15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E32DAE-33E7-4627-A461-2FF45CD7066E}" name="24小时用户趋势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3">
  <location ref="A3:E29" firstHeaderRow="0" firstDataRow="1" firstDataCol="1"/>
  <pivotFields count="5"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showAll="0">
      <items count="26">
        <item x="4"/>
        <item x="5"/>
        <item x="3"/>
        <item x="2"/>
        <item x="6"/>
        <item x="1"/>
        <item x="7"/>
        <item x="8"/>
        <item x="9"/>
        <item x="17"/>
        <item x="0"/>
        <item x="11"/>
        <item x="12"/>
        <item x="10"/>
        <item x="18"/>
        <item x="16"/>
        <item x="14"/>
        <item x="13"/>
        <item x="15"/>
        <item x="19"/>
        <item x="23"/>
        <item x="20"/>
        <item x="22"/>
        <item x="21"/>
        <item x="24"/>
        <item t="default"/>
      </items>
    </pivotField>
    <pivotField dataField="1" showAll="0">
      <items count="26">
        <item x="4"/>
        <item x="5"/>
        <item x="3"/>
        <item x="2"/>
        <item x="6"/>
        <item x="7"/>
        <item x="1"/>
        <item x="8"/>
        <item x="17"/>
        <item x="12"/>
        <item x="18"/>
        <item x="9"/>
        <item x="11"/>
        <item x="0"/>
        <item x="16"/>
        <item x="10"/>
        <item x="14"/>
        <item x="13"/>
        <item x="15"/>
        <item x="19"/>
        <item x="20"/>
        <item x="23"/>
        <item x="22"/>
        <item x="21"/>
        <item x="24"/>
        <item t="default"/>
      </items>
    </pivotField>
    <pivotField dataField="1" showAll="0">
      <items count="26">
        <item x="4"/>
        <item x="5"/>
        <item x="3"/>
        <item x="2"/>
        <item x="6"/>
        <item x="1"/>
        <item x="7"/>
        <item x="8"/>
        <item x="9"/>
        <item x="0"/>
        <item x="17"/>
        <item x="18"/>
        <item x="12"/>
        <item x="11"/>
        <item x="16"/>
        <item x="10"/>
        <item x="14"/>
        <item x="15"/>
        <item x="13"/>
        <item x="19"/>
        <item x="20"/>
        <item x="23"/>
        <item x="21"/>
        <item x="22"/>
        <item x="24"/>
        <item t="default"/>
      </items>
    </pivotField>
    <pivotField dataField="1" showAll="0">
      <items count="26">
        <item x="4"/>
        <item x="5"/>
        <item x="3"/>
        <item x="2"/>
        <item x="6"/>
        <item x="1"/>
        <item x="7"/>
        <item x="8"/>
        <item x="0"/>
        <item x="18"/>
        <item x="17"/>
        <item x="9"/>
        <item x="19"/>
        <item x="23"/>
        <item x="12"/>
        <item x="16"/>
        <item x="11"/>
        <item x="15"/>
        <item x="10"/>
        <item x="14"/>
        <item x="13"/>
        <item x="20"/>
        <item x="21"/>
        <item x="22"/>
        <item x="24"/>
        <item t="default"/>
      </items>
    </pivotField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浏览" fld="1" baseField="0" baseItem="0"/>
    <dataField name="收藏" fld="2" baseField="0" baseItem="0"/>
    <dataField name="加购" fld="3" baseField="0" baseItem="0"/>
    <dataField name="购买" fld="4" baseField="0" baseItem="0"/>
  </dataFields>
  <chartFormats count="1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2"/>
          </reference>
          <reference field="0" count="1" selected="0">
            <x v="23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23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1"/>
          </reference>
          <reference field="0" count="1" selected="0">
            <x v="23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3"/>
          </reference>
          <reference field="0" count="1" selected="0">
            <x v="23"/>
          </reference>
        </references>
      </pivotArea>
    </chartFormat>
    <chartFormat chart="8" format="2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2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2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8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07EAE-5173-4D31-8A16-2C92E4171240}" name="数据透视表8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6">
  <location ref="A3:E11" firstHeaderRow="0" firstDataRow="1" firstDataCol="1"/>
  <pivotFields count="5">
    <pivotField axis="axisRow" showAll="0" sortType="descending">
      <items count="8">
        <item x="0"/>
        <item x="4"/>
        <item x="3"/>
        <item x="2"/>
        <item x="6"/>
        <item x="5"/>
        <item x="1"/>
        <item t="default"/>
      </items>
    </pivotField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浏览" fld="1" baseField="0" baseItem="0"/>
    <dataField name="收藏" fld="2" baseField="0" baseItem="0"/>
    <dataField name="加购" fld="3" baseField="0" baseItem="0"/>
    <dataField name="购买" fld="4" baseField="0" baseItem="0"/>
  </dataFields>
  <chartFormats count="4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003A6C-0763-45DC-BC06-4BB58B2955B7}" name="数据透视表9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6">
  <location ref="A1:C6" firstHeaderRow="0" firstDataRow="1" firstDataCol="1"/>
  <pivotFields count="3">
    <pivotField axis="axisRow" showAll="0">
      <items count="5">
        <item x="3"/>
        <item x="2"/>
        <item x="0"/>
        <item x="1"/>
        <item t="default"/>
      </items>
    </pivotField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行为" fld="1" baseField="0" baseItem="0"/>
    <dataField name="占比" fld="2" baseField="0" baseItem="0"/>
  </dataFields>
  <chartFormats count="10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1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397ABB-CF00-4405-93C5-B365316304D6}" name="数据透视表10" cacheId="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">
  <location ref="A1:B5" firstHeaderRow="1" firstDataRow="1" firstDataCol="1"/>
  <pivotFields count="4">
    <pivotField axis="axisRow" showAll="0">
      <items count="4">
        <item x="2"/>
        <item x="0"/>
        <item x="1"/>
        <item t="default"/>
      </items>
    </pivotField>
    <pivotField showAll="0"/>
    <pivotField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转化率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4B8D76-19D0-4766-8E5E-C44E4FEC093D}" name="数据透视表1" cacheId="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">
  <location ref="A3:C7" firstHeaderRow="0" firstDataRow="1" firstDataCol="1"/>
  <pivotFields count="3">
    <pivotField axis="axisRow" showAll="0">
      <items count="4">
        <item x="1"/>
        <item x="0"/>
        <item x="2"/>
        <item t="default"/>
      </items>
    </pivotField>
    <pivotField dataField="1"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1" fld="1" baseField="0" baseItem="1"/>
    <dataField name="2" fld="2" baseField="0" baseItem="1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EA4A4C-CF30-4069-8852-D7A489E12DDF}" name="数据透视表2" cacheId="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2">
  <location ref="A3:C24" firstHeaderRow="0" firstDataRow="1" firstDataCol="1"/>
  <pivotFields count="5">
    <pivotField axis="axisRow" showAll="0">
      <items count="21">
        <item x="15"/>
        <item x="8"/>
        <item x="6"/>
        <item x="0"/>
        <item x="13"/>
        <item x="7"/>
        <item x="19"/>
        <item x="9"/>
        <item x="18"/>
        <item x="10"/>
        <item x="17"/>
        <item x="11"/>
        <item x="16"/>
        <item x="12"/>
        <item x="3"/>
        <item x="5"/>
        <item x="4"/>
        <item x="2"/>
        <item x="14"/>
        <item x="1"/>
        <item t="default"/>
      </items>
    </pivotField>
    <pivotField dataField="1" showAll="0">
      <items count="19">
        <item x="1"/>
        <item x="14"/>
        <item x="2"/>
        <item x="12"/>
        <item x="10"/>
        <item x="6"/>
        <item x="4"/>
        <item x="15"/>
        <item x="3"/>
        <item x="5"/>
        <item x="8"/>
        <item x="9"/>
        <item x="16"/>
        <item x="13"/>
        <item x="7"/>
        <item x="0"/>
        <item x="17"/>
        <item x="11"/>
        <item t="default"/>
      </items>
    </pivotField>
    <pivotField showAll="0">
      <items count="16">
        <item x="2"/>
        <item x="11"/>
        <item x="9"/>
        <item x="5"/>
        <item x="13"/>
        <item x="0"/>
        <item x="1"/>
        <item x="7"/>
        <item x="3"/>
        <item x="12"/>
        <item x="10"/>
        <item x="4"/>
        <item x="6"/>
        <item x="8"/>
        <item x="14"/>
        <item t="default"/>
      </items>
    </pivotField>
    <pivotField showAll="0">
      <items count="17">
        <item x="13"/>
        <item x="5"/>
        <item x="1"/>
        <item x="2"/>
        <item x="7"/>
        <item x="4"/>
        <item x="6"/>
        <item x="3"/>
        <item x="9"/>
        <item x="14"/>
        <item x="10"/>
        <item x="12"/>
        <item x="8"/>
        <item x="15"/>
        <item x="11"/>
        <item x="0"/>
        <item t="default"/>
      </items>
    </pivotField>
    <pivotField dataField="1" showAll="0">
      <items count="19"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2">
    <i>
      <x/>
    </i>
    <i i="1">
      <x v="1"/>
    </i>
  </colItems>
  <dataFields count="2">
    <dataField name="求和项:类目转化率_百分比" fld="4" baseField="0" baseItem="0"/>
    <dataField name="求和项:浏览次数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0D9E32B-C7F1-4E76-9F7B-7C2993091A5A}" autoFormatId="16" applyNumberFormats="0" applyBorderFormats="0" applyFontFormats="0" applyPatternFormats="0" applyAlignmentFormats="0" applyWidthHeightFormats="0">
  <queryTableRefresh nextId="6">
    <queryTableFields count="5">
      <queryTableField id="1" name="小时" tableColumnId="1"/>
      <queryTableField id="2" name="浏览次数" tableColumnId="2"/>
      <queryTableField id="3" name="收藏次数" tableColumnId="3"/>
      <queryTableField id="4" name="加购次数" tableColumnId="4"/>
      <queryTableField id="5" name="购买次数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0D39ED5-9799-495F-854C-1240CA96C235}" autoFormatId="16" applyNumberFormats="0" applyBorderFormats="0" applyFontFormats="0" applyPatternFormats="0" applyAlignmentFormats="0" applyWidthHeightFormats="0">
  <queryTableRefresh nextId="6">
    <queryTableFields count="5">
      <queryTableField id="1" name="星期" tableColumnId="1"/>
      <queryTableField id="2" name="浏览次数" tableColumnId="2"/>
      <queryTableField id="3" name="收藏次数" tableColumnId="3"/>
      <queryTableField id="4" name="加购次数" tableColumnId="4"/>
      <queryTableField id="5" name="购买次数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C274D153-920A-4C63-8375-13C0F629881D}" autoFormatId="16" applyNumberFormats="0" applyBorderFormats="0" applyFontFormats="0" applyPatternFormats="0" applyAlignmentFormats="0" applyWidthHeightFormats="0">
  <queryTableRefresh nextId="4">
    <queryTableFields count="3">
      <queryTableField id="1" name="行为类型" tableColumnId="1"/>
      <queryTableField id="2" name="行为次数" tableColumnId="2"/>
      <queryTableField id="3" name="占比_百分比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F9AF744-11E6-4E58-ACF6-756C2836BCEE}" autoFormatId="16" applyNumberFormats="0" applyBorderFormats="0" applyFontFormats="0" applyPatternFormats="0" applyAlignmentFormats="0" applyWidthHeightFormats="0">
  <queryTableRefresh nextId="5">
    <queryTableFields count="4">
      <queryTableField id="1" name="转化路径" tableColumnId="1"/>
      <queryTableField id="2" name="上游行为用户数" tableColumnId="2"/>
      <queryTableField id="3" name="购买用户数" tableColumnId="3"/>
      <queryTableField id="4" name="转化率_百分比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9F9D22C-80C7-4A5A-BA13-6CCEA98AA080}" autoFormatId="16" applyNumberFormats="0" applyBorderFormats="0" applyFontFormats="0" applyPatternFormats="0" applyAlignmentFormats="0" applyWidthHeightFormats="0">
  <queryTableRefresh nextId="4">
    <queryTableFields count="3">
      <queryTableField id="1" name="user_level" tableColumnId="1"/>
      <queryTableField id="2" name="user_count" tableColumnId="2"/>
      <queryTableField id="3" name="user_ratio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B6093A5-CC19-45B6-ABB9-227ECEE84693}" autoFormatId="16" applyNumberFormats="0" applyBorderFormats="0" applyFontFormats="0" applyPatternFormats="0" applyAlignmentFormats="0" applyWidthHeightFormats="0">
  <queryTableRefresh nextId="6">
    <queryTableFields count="5">
      <queryTableField id="1" name="商品类目ID" tableColumnId="1"/>
      <queryTableField id="2" name="浏览次数" tableColumnId="2"/>
      <queryTableField id="3" name="加购次数" tableColumnId="3"/>
      <queryTableField id="4" name="购买次数" tableColumnId="4"/>
      <queryTableField id="5" name="类目转化率_百分比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54B953-0B57-4D02-9AE0-7E43A24BD80A}" name="小时行为维度分布" displayName="小时行为维度分布" ref="A1:E25" tableType="queryTable" totalsRowShown="0">
  <autoFilter ref="A1:E25" xr:uid="{D954B953-0B57-4D02-9AE0-7E43A24BD80A}"/>
  <tableColumns count="5">
    <tableColumn id="1" xr3:uid="{D4E42895-2906-40D6-A450-825BF2747DF5}" uniqueName="1" name="小时" queryTableFieldId="1"/>
    <tableColumn id="2" xr3:uid="{2DF64B3A-4195-441A-BB2C-9C027A7C4AA5}" uniqueName="2" name="浏览次数" queryTableFieldId="2"/>
    <tableColumn id="3" xr3:uid="{F38F525F-D2B8-4D9A-97B5-76A716A1D010}" uniqueName="3" name="收藏次数" queryTableFieldId="3"/>
    <tableColumn id="4" xr3:uid="{D74DFBDC-CB45-41BA-B558-43F536E867F7}" uniqueName="4" name="加购次数" queryTableFieldId="4"/>
    <tableColumn id="5" xr3:uid="{491C4DCD-F86D-4FB7-8AA3-E8219D812F8D}" uniqueName="5" name="购买次数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249FD0-EF1A-483B-82CC-84254717B4FC}" name="星期维度行为分布" displayName="星期维度行为分布" ref="A1:E8" tableType="queryTable" totalsRowShown="0">
  <autoFilter ref="A1:E8" xr:uid="{FD249FD0-EF1A-483B-82CC-84254717B4FC}"/>
  <tableColumns count="5">
    <tableColumn id="1" xr3:uid="{A95DC18F-CBC6-435B-8BD2-CBF1233B3870}" uniqueName="1" name="星期" queryTableFieldId="1" dataDxfId="4"/>
    <tableColumn id="2" xr3:uid="{A5AA2E83-41BE-4ED8-8935-63ABB697D818}" uniqueName="2" name="浏览次数" queryTableFieldId="2"/>
    <tableColumn id="3" xr3:uid="{B5B09124-3FC8-4AD2-B03A-5358631995F5}" uniqueName="3" name="收藏次数" queryTableFieldId="3"/>
    <tableColumn id="4" xr3:uid="{42A23086-32B1-4753-AD61-A45A7DA29D89}" uniqueName="4" name="加购次数" queryTableFieldId="4"/>
    <tableColumn id="5" xr3:uid="{D0701836-624C-4890-94D1-5A12127CC3C4}" uniqueName="5" name="购买次数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C08578-4E22-4D89-A635-24C38B125BDA}" name="用户行为分布分析" displayName="用户行为分布分析" ref="A1:C5" tableType="queryTable" totalsRowShown="0">
  <autoFilter ref="A1:C5" xr:uid="{A7C08578-4E22-4D89-A635-24C38B125BDA}"/>
  <tableColumns count="3">
    <tableColumn id="1" xr3:uid="{A952EA5B-C2C3-46C9-AF8B-5D7F48231AB2}" uniqueName="1" name="行为类型" queryTableFieldId="1" dataDxfId="3"/>
    <tableColumn id="2" xr3:uid="{A92A120D-854B-432E-9388-07A85A9D08F7}" uniqueName="2" name="行为次数" queryTableFieldId="2"/>
    <tableColumn id="3" xr3:uid="{DBA6A3E6-857D-45B6-AC24-3A288CF146E4}" uniqueName="3" name="占比_百分比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C27EF2-02D8-44D1-BC06-A48025F16121}" name="转化率分析" displayName="转化率分析" ref="A1:D4" tableType="queryTable" totalsRowShown="0">
  <autoFilter ref="A1:D4" xr:uid="{BDC27EF2-02D8-44D1-BC06-A48025F16121}"/>
  <tableColumns count="4">
    <tableColumn id="1" xr3:uid="{A274AA72-9778-4DF3-8185-E2009311AE44}" uniqueName="1" name="转化路径" queryTableFieldId="1" dataDxfId="2"/>
    <tableColumn id="2" xr3:uid="{08D69ACC-382E-4769-804E-6BFB29766870}" uniqueName="2" name="上游行为用户数" queryTableFieldId="2"/>
    <tableColumn id="3" xr3:uid="{7C45A135-F613-45E5-9F97-1C5CCD0D6735}" uniqueName="3" name="购买用户数" queryTableFieldId="3"/>
    <tableColumn id="4" xr3:uid="{3E026615-827B-41BA-99BB-CB0A472A5E69}" uniqueName="4" name="转化率_百分比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9633E7-E660-40F5-BB62-4AC36B1AFA9C}" name="rfm分层" displayName="rfm分层" ref="A1:C4" tableType="queryTable" totalsRowShown="0">
  <autoFilter ref="A1:C4" xr:uid="{349633E7-E660-40F5-BB62-4AC36B1AFA9C}"/>
  <tableColumns count="3">
    <tableColumn id="1" xr3:uid="{264FC013-5CC0-4065-A35E-82BAB3984DB9}" uniqueName="1" name="user_level" queryTableFieldId="1" dataDxfId="1"/>
    <tableColumn id="2" xr3:uid="{AB5B1B0E-D919-4E1A-8B3A-E1555839D98F}" uniqueName="2" name="user_count" queryTableFieldId="2"/>
    <tableColumn id="3" xr3:uid="{F32CE980-042D-45F6-AED1-75CD964D702C}" uniqueName="3" name="user_ratio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D022FBB-339C-4028-9C7F-F1A80D203374}" name="商品类目" displayName="商品类目" ref="A1:E21" tableType="queryTable" totalsRowShown="0">
  <autoFilter ref="A1:E21" xr:uid="{FD022FBB-339C-4028-9C7F-F1A80D203374}"/>
  <tableColumns count="5">
    <tableColumn id="1" xr3:uid="{EE7B3924-C2AE-47A9-82F9-9217E9D5325C}" uniqueName="1" name="商品类目ID" queryTableFieldId="1"/>
    <tableColumn id="2" xr3:uid="{22A0F25E-B7DE-4DDD-8E04-654AD6B153D1}" uniqueName="2" name="浏览次数" queryTableFieldId="2"/>
    <tableColumn id="3" xr3:uid="{0B9D08C7-AA03-4422-8E14-86C152226BEB}" uniqueName="3" name="加购次数" queryTableFieldId="3"/>
    <tableColumn id="4" xr3:uid="{D1831669-4207-40B7-BB7B-08055E195BB5}" uniqueName="4" name="购买次数" queryTableFieldId="4"/>
    <tableColumn id="5" xr3:uid="{B458FC56-88D8-4656-8846-13990B4CB5C5}" uniqueName="5" name="类目转化率_百分比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0D5EE-AC19-45CA-B952-A90E0484FC24}">
  <dimension ref="A3:E29"/>
  <sheetViews>
    <sheetView tabSelected="1" workbookViewId="0">
      <selection activeCell="G35" sqref="G35"/>
    </sheetView>
  </sheetViews>
  <sheetFormatPr defaultRowHeight="14.25" x14ac:dyDescent="0.2"/>
  <cols>
    <col min="1" max="1" width="9.125" bestFit="1" customWidth="1"/>
    <col min="2" max="2" width="8.5" bestFit="1" customWidth="1"/>
    <col min="3" max="4" width="7.5" bestFit="1" customWidth="1"/>
    <col min="5" max="5" width="6.5" bestFit="1" customWidth="1"/>
    <col min="6" max="9" width="15.625" bestFit="1" customWidth="1"/>
    <col min="10" max="10" width="9.125" bestFit="1" customWidth="1"/>
    <col min="11" max="12" width="15.625" bestFit="1" customWidth="1"/>
    <col min="13" max="13" width="9.125" bestFit="1" customWidth="1"/>
    <col min="14" max="15" width="15.625" bestFit="1" customWidth="1"/>
    <col min="16" max="16" width="9.125" bestFit="1" customWidth="1"/>
    <col min="17" max="76" width="15.625" bestFit="1" customWidth="1"/>
    <col min="77" max="79" width="19.875" bestFit="1" customWidth="1"/>
    <col min="80" max="81" width="22.875" bestFit="1" customWidth="1"/>
    <col min="82" max="83" width="15.625" bestFit="1" customWidth="1"/>
    <col min="84" max="85" width="22.875" bestFit="1" customWidth="1"/>
    <col min="86" max="87" width="15.625" bestFit="1" customWidth="1"/>
    <col min="88" max="89" width="22.875" bestFit="1" customWidth="1"/>
    <col min="90" max="91" width="15.625" bestFit="1" customWidth="1"/>
    <col min="92" max="93" width="22.875" bestFit="1" customWidth="1"/>
    <col min="94" max="95" width="15.625" bestFit="1" customWidth="1"/>
    <col min="96" max="97" width="22.875" bestFit="1" customWidth="1"/>
    <col min="98" max="99" width="15.625" bestFit="1" customWidth="1"/>
    <col min="100" max="101" width="21.75" bestFit="1" customWidth="1"/>
    <col min="102" max="103" width="19.875" bestFit="1" customWidth="1"/>
  </cols>
  <sheetData>
    <row r="3" spans="1:5" x14ac:dyDescent="0.2">
      <c r="A3" s="1" t="s">
        <v>27</v>
      </c>
      <c r="B3" t="s">
        <v>16</v>
      </c>
      <c r="C3" t="s">
        <v>17</v>
      </c>
      <c r="D3" t="s">
        <v>18</v>
      </c>
      <c r="E3" t="s">
        <v>19</v>
      </c>
    </row>
    <row r="4" spans="1:5" x14ac:dyDescent="0.2">
      <c r="A4" s="2">
        <v>0</v>
      </c>
      <c r="B4">
        <v>217699</v>
      </c>
      <c r="C4">
        <v>4864</v>
      </c>
      <c r="D4">
        <v>6253</v>
      </c>
      <c r="E4">
        <v>2205</v>
      </c>
    </row>
    <row r="5" spans="1:5" x14ac:dyDescent="0.2">
      <c r="A5" s="2">
        <v>1</v>
      </c>
      <c r="B5">
        <v>113097</v>
      </c>
      <c r="C5">
        <v>2784</v>
      </c>
      <c r="D5">
        <v>2985</v>
      </c>
      <c r="E5">
        <v>724</v>
      </c>
    </row>
    <row r="6" spans="1:5" x14ac:dyDescent="0.2">
      <c r="A6" s="2">
        <v>2</v>
      </c>
      <c r="B6">
        <v>62038</v>
      </c>
      <c r="C6">
        <v>1474</v>
      </c>
      <c r="D6">
        <v>1700</v>
      </c>
      <c r="E6">
        <v>371</v>
      </c>
    </row>
    <row r="7" spans="1:5" x14ac:dyDescent="0.2">
      <c r="A7" s="2">
        <v>3</v>
      </c>
      <c r="B7">
        <v>41698</v>
      </c>
      <c r="C7">
        <v>1002</v>
      </c>
      <c r="D7">
        <v>1158</v>
      </c>
      <c r="E7">
        <v>216</v>
      </c>
    </row>
    <row r="8" spans="1:5" x14ac:dyDescent="0.2">
      <c r="A8" s="2">
        <v>4</v>
      </c>
      <c r="B8">
        <v>33509</v>
      </c>
      <c r="C8">
        <v>912</v>
      </c>
      <c r="D8">
        <v>977</v>
      </c>
      <c r="E8">
        <v>180</v>
      </c>
    </row>
    <row r="9" spans="1:5" x14ac:dyDescent="0.2">
      <c r="A9" s="2">
        <v>5</v>
      </c>
      <c r="B9">
        <v>37187</v>
      </c>
      <c r="C9">
        <v>937</v>
      </c>
      <c r="D9">
        <v>1015</v>
      </c>
      <c r="E9">
        <v>195</v>
      </c>
    </row>
    <row r="10" spans="1:5" x14ac:dyDescent="0.2">
      <c r="A10" s="2">
        <v>6</v>
      </c>
      <c r="B10">
        <v>66754</v>
      </c>
      <c r="C10">
        <v>1590</v>
      </c>
      <c r="D10">
        <v>1731</v>
      </c>
      <c r="E10">
        <v>469</v>
      </c>
    </row>
    <row r="11" spans="1:5" x14ac:dyDescent="0.2">
      <c r="A11" s="2">
        <v>7</v>
      </c>
      <c r="B11">
        <v>121162</v>
      </c>
      <c r="C11">
        <v>2591</v>
      </c>
      <c r="D11">
        <v>3143</v>
      </c>
      <c r="E11">
        <v>833</v>
      </c>
    </row>
    <row r="12" spans="1:5" x14ac:dyDescent="0.2">
      <c r="A12" s="2">
        <v>8</v>
      </c>
      <c r="B12">
        <v>166484</v>
      </c>
      <c r="C12">
        <v>3434</v>
      </c>
      <c r="D12">
        <v>4442</v>
      </c>
      <c r="E12">
        <v>1653</v>
      </c>
    </row>
    <row r="13" spans="1:5" x14ac:dyDescent="0.2">
      <c r="A13" s="2">
        <v>9</v>
      </c>
      <c r="B13">
        <v>202739</v>
      </c>
      <c r="C13">
        <v>4674</v>
      </c>
      <c r="D13">
        <v>5756</v>
      </c>
      <c r="E13">
        <v>2591</v>
      </c>
    </row>
    <row r="14" spans="1:5" x14ac:dyDescent="0.2">
      <c r="A14" s="2">
        <v>10</v>
      </c>
      <c r="B14">
        <v>229874</v>
      </c>
      <c r="C14">
        <v>5077</v>
      </c>
      <c r="D14">
        <v>7326</v>
      </c>
      <c r="E14">
        <v>3239</v>
      </c>
    </row>
    <row r="15" spans="1:5" x14ac:dyDescent="0.2">
      <c r="A15" s="2">
        <v>11</v>
      </c>
      <c r="B15">
        <v>219804</v>
      </c>
      <c r="C15">
        <v>4843</v>
      </c>
      <c r="D15">
        <v>6779</v>
      </c>
      <c r="E15">
        <v>3217</v>
      </c>
    </row>
    <row r="16" spans="1:5" x14ac:dyDescent="0.2">
      <c r="A16" s="2">
        <v>12</v>
      </c>
      <c r="B16">
        <v>222506</v>
      </c>
      <c r="C16">
        <v>4302</v>
      </c>
      <c r="D16">
        <v>6697</v>
      </c>
      <c r="E16">
        <v>3147</v>
      </c>
    </row>
    <row r="17" spans="1:5" x14ac:dyDescent="0.2">
      <c r="A17" s="2">
        <v>13</v>
      </c>
      <c r="B17">
        <v>249462</v>
      </c>
      <c r="C17">
        <v>5193</v>
      </c>
      <c r="D17">
        <v>7759</v>
      </c>
      <c r="E17">
        <v>3423</v>
      </c>
    </row>
    <row r="18" spans="1:5" x14ac:dyDescent="0.2">
      <c r="A18" s="2">
        <v>14</v>
      </c>
      <c r="B18">
        <v>248742</v>
      </c>
      <c r="C18">
        <v>5181</v>
      </c>
      <c r="D18">
        <v>7519</v>
      </c>
      <c r="E18">
        <v>3256</v>
      </c>
    </row>
    <row r="19" spans="1:5" x14ac:dyDescent="0.2">
      <c r="A19" s="2">
        <v>15</v>
      </c>
      <c r="B19">
        <v>250143</v>
      </c>
      <c r="C19">
        <v>5317</v>
      </c>
      <c r="D19">
        <v>7754</v>
      </c>
      <c r="E19">
        <v>3236</v>
      </c>
    </row>
    <row r="20" spans="1:5" x14ac:dyDescent="0.2">
      <c r="A20" s="2">
        <v>16</v>
      </c>
      <c r="B20">
        <v>240669</v>
      </c>
      <c r="C20">
        <v>4883</v>
      </c>
      <c r="D20">
        <v>7160</v>
      </c>
      <c r="E20">
        <v>3156</v>
      </c>
    </row>
    <row r="21" spans="1:5" x14ac:dyDescent="0.2">
      <c r="A21" s="2">
        <v>17</v>
      </c>
      <c r="B21">
        <v>211773</v>
      </c>
      <c r="C21">
        <v>4212</v>
      </c>
      <c r="D21">
        <v>6431</v>
      </c>
      <c r="E21">
        <v>2365</v>
      </c>
    </row>
    <row r="22" spans="1:5" x14ac:dyDescent="0.2">
      <c r="A22" s="2">
        <v>18</v>
      </c>
      <c r="B22">
        <v>230248</v>
      </c>
      <c r="C22">
        <v>4662</v>
      </c>
      <c r="D22">
        <v>6628</v>
      </c>
      <c r="E22">
        <v>2267</v>
      </c>
    </row>
    <row r="23" spans="1:5" x14ac:dyDescent="0.2">
      <c r="A23" s="2">
        <v>19</v>
      </c>
      <c r="B23">
        <v>310449</v>
      </c>
      <c r="C23">
        <v>6284</v>
      </c>
      <c r="D23">
        <v>8391</v>
      </c>
      <c r="E23">
        <v>2842</v>
      </c>
    </row>
    <row r="24" spans="1:5" x14ac:dyDescent="0.2">
      <c r="A24" s="2">
        <v>20</v>
      </c>
      <c r="B24">
        <v>394276</v>
      </c>
      <c r="C24">
        <v>7290</v>
      </c>
      <c r="D24">
        <v>11107</v>
      </c>
      <c r="E24">
        <v>3496</v>
      </c>
    </row>
    <row r="25" spans="1:5" x14ac:dyDescent="0.2">
      <c r="A25" s="2">
        <v>21</v>
      </c>
      <c r="B25">
        <v>459150</v>
      </c>
      <c r="C25">
        <v>9104</v>
      </c>
      <c r="D25">
        <v>13506</v>
      </c>
      <c r="E25">
        <v>3960</v>
      </c>
    </row>
    <row r="26" spans="1:5" x14ac:dyDescent="0.2">
      <c r="A26" s="2">
        <v>22</v>
      </c>
      <c r="B26">
        <v>458920</v>
      </c>
      <c r="C26">
        <v>9058</v>
      </c>
      <c r="D26">
        <v>14456</v>
      </c>
      <c r="E26">
        <v>4004</v>
      </c>
    </row>
    <row r="27" spans="1:5" x14ac:dyDescent="0.2">
      <c r="A27" s="2">
        <v>23</v>
      </c>
      <c r="B27">
        <v>357285</v>
      </c>
      <c r="C27">
        <v>7846</v>
      </c>
      <c r="D27">
        <v>12314</v>
      </c>
      <c r="E27">
        <v>2861</v>
      </c>
    </row>
    <row r="28" spans="1:5" x14ac:dyDescent="0.2">
      <c r="A28" s="2" t="s">
        <v>28</v>
      </c>
    </row>
    <row r="29" spans="1:5" x14ac:dyDescent="0.2">
      <c r="A29" s="2" t="s">
        <v>29</v>
      </c>
      <c r="B29">
        <v>5145668</v>
      </c>
      <c r="C29">
        <v>107514</v>
      </c>
      <c r="D29">
        <v>152987</v>
      </c>
      <c r="E29">
        <v>53906</v>
      </c>
    </row>
  </sheetData>
  <phoneticPr fontId="1" type="noConversion"/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CB215-74E9-4160-814B-4E213E49642D}">
  <dimension ref="A1:E25"/>
  <sheetViews>
    <sheetView workbookViewId="0">
      <selection activeCell="C11" sqref="C11"/>
    </sheetView>
  </sheetViews>
  <sheetFormatPr defaultRowHeight="14.25" x14ac:dyDescent="0.2"/>
  <cols>
    <col min="1" max="1" width="7.25" bestFit="1" customWidth="1"/>
    <col min="2" max="5" width="11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>
        <v>0</v>
      </c>
      <c r="B2">
        <v>217699</v>
      </c>
      <c r="C2">
        <v>4864</v>
      </c>
      <c r="D2">
        <v>6253</v>
      </c>
      <c r="E2">
        <v>2205</v>
      </c>
    </row>
    <row r="3" spans="1:5" x14ac:dyDescent="0.2">
      <c r="A3">
        <v>1</v>
      </c>
      <c r="B3">
        <v>113097</v>
      </c>
      <c r="C3">
        <v>2784</v>
      </c>
      <c r="D3">
        <v>2985</v>
      </c>
      <c r="E3">
        <v>724</v>
      </c>
    </row>
    <row r="4" spans="1:5" x14ac:dyDescent="0.2">
      <c r="A4">
        <v>2</v>
      </c>
      <c r="B4">
        <v>62038</v>
      </c>
      <c r="C4">
        <v>1474</v>
      </c>
      <c r="D4">
        <v>1700</v>
      </c>
      <c r="E4">
        <v>371</v>
      </c>
    </row>
    <row r="5" spans="1:5" x14ac:dyDescent="0.2">
      <c r="A5">
        <v>3</v>
      </c>
      <c r="B5">
        <v>41698</v>
      </c>
      <c r="C5">
        <v>1002</v>
      </c>
      <c r="D5">
        <v>1158</v>
      </c>
      <c r="E5">
        <v>216</v>
      </c>
    </row>
    <row r="6" spans="1:5" x14ac:dyDescent="0.2">
      <c r="A6">
        <v>4</v>
      </c>
      <c r="B6">
        <v>33509</v>
      </c>
      <c r="C6">
        <v>912</v>
      </c>
      <c r="D6">
        <v>977</v>
      </c>
      <c r="E6">
        <v>180</v>
      </c>
    </row>
    <row r="7" spans="1:5" x14ac:dyDescent="0.2">
      <c r="A7">
        <v>5</v>
      </c>
      <c r="B7">
        <v>37187</v>
      </c>
      <c r="C7">
        <v>937</v>
      </c>
      <c r="D7">
        <v>1015</v>
      </c>
      <c r="E7">
        <v>195</v>
      </c>
    </row>
    <row r="8" spans="1:5" x14ac:dyDescent="0.2">
      <c r="A8">
        <v>6</v>
      </c>
      <c r="B8">
        <v>66754</v>
      </c>
      <c r="C8">
        <v>1590</v>
      </c>
      <c r="D8">
        <v>1731</v>
      </c>
      <c r="E8">
        <v>469</v>
      </c>
    </row>
    <row r="9" spans="1:5" x14ac:dyDescent="0.2">
      <c r="A9">
        <v>7</v>
      </c>
      <c r="B9">
        <v>121162</v>
      </c>
      <c r="C9">
        <v>2591</v>
      </c>
      <c r="D9">
        <v>3143</v>
      </c>
      <c r="E9">
        <v>833</v>
      </c>
    </row>
    <row r="10" spans="1:5" x14ac:dyDescent="0.2">
      <c r="A10">
        <v>8</v>
      </c>
      <c r="B10">
        <v>166484</v>
      </c>
      <c r="C10">
        <v>3434</v>
      </c>
      <c r="D10">
        <v>4442</v>
      </c>
      <c r="E10">
        <v>1653</v>
      </c>
    </row>
    <row r="11" spans="1:5" x14ac:dyDescent="0.2">
      <c r="A11">
        <v>9</v>
      </c>
      <c r="B11">
        <v>202739</v>
      </c>
      <c r="C11">
        <v>4674</v>
      </c>
      <c r="D11">
        <v>5756</v>
      </c>
      <c r="E11">
        <v>2591</v>
      </c>
    </row>
    <row r="12" spans="1:5" x14ac:dyDescent="0.2">
      <c r="A12">
        <v>10</v>
      </c>
      <c r="B12">
        <v>229874</v>
      </c>
      <c r="C12">
        <v>5077</v>
      </c>
      <c r="D12">
        <v>7326</v>
      </c>
      <c r="E12">
        <v>3239</v>
      </c>
    </row>
    <row r="13" spans="1:5" x14ac:dyDescent="0.2">
      <c r="A13">
        <v>11</v>
      </c>
      <c r="B13">
        <v>219804</v>
      </c>
      <c r="C13">
        <v>4843</v>
      </c>
      <c r="D13">
        <v>6779</v>
      </c>
      <c r="E13">
        <v>3217</v>
      </c>
    </row>
    <row r="14" spans="1:5" x14ac:dyDescent="0.2">
      <c r="A14">
        <v>12</v>
      </c>
      <c r="B14">
        <v>222506</v>
      </c>
      <c r="C14">
        <v>4302</v>
      </c>
      <c r="D14">
        <v>6697</v>
      </c>
      <c r="E14">
        <v>3147</v>
      </c>
    </row>
    <row r="15" spans="1:5" x14ac:dyDescent="0.2">
      <c r="A15">
        <v>13</v>
      </c>
      <c r="B15">
        <v>249462</v>
      </c>
      <c r="C15">
        <v>5193</v>
      </c>
      <c r="D15">
        <v>7759</v>
      </c>
      <c r="E15">
        <v>3423</v>
      </c>
    </row>
    <row r="16" spans="1:5" x14ac:dyDescent="0.2">
      <c r="A16">
        <v>14</v>
      </c>
      <c r="B16">
        <v>248742</v>
      </c>
      <c r="C16">
        <v>5181</v>
      </c>
      <c r="D16">
        <v>7519</v>
      </c>
      <c r="E16">
        <v>3256</v>
      </c>
    </row>
    <row r="17" spans="1:5" x14ac:dyDescent="0.2">
      <c r="A17">
        <v>15</v>
      </c>
      <c r="B17">
        <v>250143</v>
      </c>
      <c r="C17">
        <v>5317</v>
      </c>
      <c r="D17">
        <v>7754</v>
      </c>
      <c r="E17">
        <v>3236</v>
      </c>
    </row>
    <row r="18" spans="1:5" x14ac:dyDescent="0.2">
      <c r="A18">
        <v>16</v>
      </c>
      <c r="B18">
        <v>240669</v>
      </c>
      <c r="C18">
        <v>4883</v>
      </c>
      <c r="D18">
        <v>7160</v>
      </c>
      <c r="E18">
        <v>3156</v>
      </c>
    </row>
    <row r="19" spans="1:5" x14ac:dyDescent="0.2">
      <c r="A19">
        <v>17</v>
      </c>
      <c r="B19">
        <v>211773</v>
      </c>
      <c r="C19">
        <v>4212</v>
      </c>
      <c r="D19">
        <v>6431</v>
      </c>
      <c r="E19">
        <v>2365</v>
      </c>
    </row>
    <row r="20" spans="1:5" x14ac:dyDescent="0.2">
      <c r="A20">
        <v>18</v>
      </c>
      <c r="B20">
        <v>230248</v>
      </c>
      <c r="C20">
        <v>4662</v>
      </c>
      <c r="D20">
        <v>6628</v>
      </c>
      <c r="E20">
        <v>2267</v>
      </c>
    </row>
    <row r="21" spans="1:5" x14ac:dyDescent="0.2">
      <c r="A21">
        <v>19</v>
      </c>
      <c r="B21">
        <v>310449</v>
      </c>
      <c r="C21">
        <v>6284</v>
      </c>
      <c r="D21">
        <v>8391</v>
      </c>
      <c r="E21">
        <v>2842</v>
      </c>
    </row>
    <row r="22" spans="1:5" x14ac:dyDescent="0.2">
      <c r="A22">
        <v>20</v>
      </c>
      <c r="B22">
        <v>394276</v>
      </c>
      <c r="C22">
        <v>7290</v>
      </c>
      <c r="D22">
        <v>11107</v>
      </c>
      <c r="E22">
        <v>3496</v>
      </c>
    </row>
    <row r="23" spans="1:5" x14ac:dyDescent="0.2">
      <c r="A23">
        <v>21</v>
      </c>
      <c r="B23">
        <v>459150</v>
      </c>
      <c r="C23">
        <v>9104</v>
      </c>
      <c r="D23">
        <v>13506</v>
      </c>
      <c r="E23">
        <v>3960</v>
      </c>
    </row>
    <row r="24" spans="1:5" x14ac:dyDescent="0.2">
      <c r="A24">
        <v>22</v>
      </c>
      <c r="B24">
        <v>458920</v>
      </c>
      <c r="C24">
        <v>9058</v>
      </c>
      <c r="D24">
        <v>14456</v>
      </c>
      <c r="E24">
        <v>4004</v>
      </c>
    </row>
    <row r="25" spans="1:5" x14ac:dyDescent="0.2">
      <c r="A25">
        <v>23</v>
      </c>
      <c r="B25">
        <v>357285</v>
      </c>
      <c r="C25">
        <v>7846</v>
      </c>
      <c r="D25">
        <v>12314</v>
      </c>
      <c r="E25">
        <v>2861</v>
      </c>
    </row>
  </sheetData>
  <phoneticPr fontId="1" type="noConversion"/>
  <conditionalFormatting sqref="I20">
    <cfRule type="aboveAverage" dxfId="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8F3FD-C28F-497C-9768-F418375FC0BF}">
  <dimension ref="A3:E11"/>
  <sheetViews>
    <sheetView workbookViewId="0">
      <selection activeCell="M28" sqref="M28"/>
    </sheetView>
  </sheetViews>
  <sheetFormatPr defaultRowHeight="14.25" x14ac:dyDescent="0.2"/>
  <cols>
    <col min="1" max="1" width="9.125" bestFit="1" customWidth="1"/>
    <col min="2" max="2" width="8.5" bestFit="1" customWidth="1"/>
    <col min="3" max="4" width="7.5" bestFit="1" customWidth="1"/>
    <col min="5" max="5" width="6.5" bestFit="1" customWidth="1"/>
  </cols>
  <sheetData>
    <row r="3" spans="1:5" x14ac:dyDescent="0.2">
      <c r="A3" s="1" t="s">
        <v>27</v>
      </c>
      <c r="B3" t="s">
        <v>16</v>
      </c>
      <c r="C3" t="s">
        <v>17</v>
      </c>
      <c r="D3" t="s">
        <v>18</v>
      </c>
      <c r="E3" t="s">
        <v>19</v>
      </c>
    </row>
    <row r="4" spans="1:5" x14ac:dyDescent="0.2">
      <c r="A4" s="2" t="s">
        <v>6</v>
      </c>
      <c r="B4">
        <v>654559</v>
      </c>
      <c r="C4">
        <v>13527</v>
      </c>
      <c r="D4">
        <v>19085</v>
      </c>
      <c r="E4">
        <v>6478</v>
      </c>
    </row>
    <row r="5" spans="1:5" x14ac:dyDescent="0.2">
      <c r="A5" s="2" t="s">
        <v>10</v>
      </c>
      <c r="B5">
        <v>722309</v>
      </c>
      <c r="C5">
        <v>13874</v>
      </c>
      <c r="D5">
        <v>23512</v>
      </c>
      <c r="E5">
        <v>11243</v>
      </c>
    </row>
    <row r="6" spans="1:5" x14ac:dyDescent="0.2">
      <c r="A6" s="2" t="s">
        <v>9</v>
      </c>
      <c r="B6">
        <v>832966</v>
      </c>
      <c r="C6">
        <v>17796</v>
      </c>
      <c r="D6">
        <v>25134</v>
      </c>
      <c r="E6">
        <v>7830</v>
      </c>
    </row>
    <row r="7" spans="1:5" x14ac:dyDescent="0.2">
      <c r="A7" s="2" t="s">
        <v>8</v>
      </c>
      <c r="B7">
        <v>813579</v>
      </c>
      <c r="C7">
        <v>17147</v>
      </c>
      <c r="D7">
        <v>23948</v>
      </c>
      <c r="E7">
        <v>8029</v>
      </c>
    </row>
    <row r="8" spans="1:5" x14ac:dyDescent="0.2">
      <c r="A8" s="2" t="s">
        <v>12</v>
      </c>
      <c r="B8">
        <v>667984</v>
      </c>
      <c r="C8">
        <v>14303</v>
      </c>
      <c r="D8">
        <v>19037</v>
      </c>
      <c r="E8">
        <v>6147</v>
      </c>
    </row>
    <row r="9" spans="1:5" x14ac:dyDescent="0.2">
      <c r="A9" s="2" t="s">
        <v>11</v>
      </c>
      <c r="B9">
        <v>641226</v>
      </c>
      <c r="C9">
        <v>13734</v>
      </c>
      <c r="D9">
        <v>18434</v>
      </c>
      <c r="E9">
        <v>6163</v>
      </c>
    </row>
    <row r="10" spans="1:5" x14ac:dyDescent="0.2">
      <c r="A10" s="2" t="s">
        <v>7</v>
      </c>
      <c r="B10">
        <v>813045</v>
      </c>
      <c r="C10">
        <v>17133</v>
      </c>
      <c r="D10">
        <v>23837</v>
      </c>
      <c r="E10">
        <v>8016</v>
      </c>
    </row>
    <row r="11" spans="1:5" x14ac:dyDescent="0.2">
      <c r="A11" s="2" t="s">
        <v>29</v>
      </c>
      <c r="B11">
        <v>5145668</v>
      </c>
      <c r="C11">
        <v>107514</v>
      </c>
      <c r="D11">
        <v>152987</v>
      </c>
      <c r="E11">
        <v>53906</v>
      </c>
    </row>
  </sheetData>
  <phoneticPr fontId="1" type="noConversion"/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CDD2C-DB10-4ADC-A490-B5ABEA6671BC}">
  <dimension ref="A1:E8"/>
  <sheetViews>
    <sheetView workbookViewId="0"/>
  </sheetViews>
  <sheetFormatPr defaultRowHeight="14.25" x14ac:dyDescent="0.2"/>
  <cols>
    <col min="1" max="1" width="7.25" bestFit="1" customWidth="1"/>
    <col min="2" max="5" width="11" bestFit="1" customWidth="1"/>
  </cols>
  <sheetData>
    <row r="1" spans="1:5" x14ac:dyDescent="0.2">
      <c r="A1" t="s">
        <v>5</v>
      </c>
      <c r="B1" t="s">
        <v>1</v>
      </c>
      <c r="C1" t="s">
        <v>2</v>
      </c>
      <c r="D1" t="s">
        <v>3</v>
      </c>
      <c r="E1" t="s">
        <v>4</v>
      </c>
    </row>
    <row r="2" spans="1:5" x14ac:dyDescent="0.2">
      <c r="A2" t="s">
        <v>6</v>
      </c>
      <c r="B2">
        <v>654559</v>
      </c>
      <c r="C2">
        <v>13527</v>
      </c>
      <c r="D2">
        <v>19085</v>
      </c>
      <c r="E2">
        <v>6478</v>
      </c>
    </row>
    <row r="3" spans="1:5" x14ac:dyDescent="0.2">
      <c r="A3" t="s">
        <v>7</v>
      </c>
      <c r="B3">
        <v>813045</v>
      </c>
      <c r="C3">
        <v>17133</v>
      </c>
      <c r="D3">
        <v>23837</v>
      </c>
      <c r="E3">
        <v>8016</v>
      </c>
    </row>
    <row r="4" spans="1:5" x14ac:dyDescent="0.2">
      <c r="A4" t="s">
        <v>8</v>
      </c>
      <c r="B4">
        <v>813579</v>
      </c>
      <c r="C4">
        <v>17147</v>
      </c>
      <c r="D4">
        <v>23948</v>
      </c>
      <c r="E4">
        <v>8029</v>
      </c>
    </row>
    <row r="5" spans="1:5" x14ac:dyDescent="0.2">
      <c r="A5" t="s">
        <v>9</v>
      </c>
      <c r="B5">
        <v>832966</v>
      </c>
      <c r="C5">
        <v>17796</v>
      </c>
      <c r="D5">
        <v>25134</v>
      </c>
      <c r="E5">
        <v>7830</v>
      </c>
    </row>
    <row r="6" spans="1:5" x14ac:dyDescent="0.2">
      <c r="A6" t="s">
        <v>10</v>
      </c>
      <c r="B6">
        <v>722309</v>
      </c>
      <c r="C6">
        <v>13874</v>
      </c>
      <c r="D6">
        <v>23512</v>
      </c>
      <c r="E6">
        <v>11243</v>
      </c>
    </row>
    <row r="7" spans="1:5" x14ac:dyDescent="0.2">
      <c r="A7" t="s">
        <v>11</v>
      </c>
      <c r="B7">
        <v>641226</v>
      </c>
      <c r="C7">
        <v>13734</v>
      </c>
      <c r="D7">
        <v>18434</v>
      </c>
      <c r="E7">
        <v>6163</v>
      </c>
    </row>
    <row r="8" spans="1:5" x14ac:dyDescent="0.2">
      <c r="A8" t="s">
        <v>12</v>
      </c>
      <c r="B8">
        <v>667984</v>
      </c>
      <c r="C8">
        <v>14303</v>
      </c>
      <c r="D8">
        <v>19037</v>
      </c>
      <c r="E8">
        <v>6147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CB25D-D4F1-46E6-A379-7DE105B898AA}">
  <dimension ref="A1:C6"/>
  <sheetViews>
    <sheetView workbookViewId="0">
      <selection activeCell="L24" sqref="L24"/>
    </sheetView>
  </sheetViews>
  <sheetFormatPr defaultRowHeight="14.25" x14ac:dyDescent="0.2"/>
  <cols>
    <col min="1" max="1" width="9.125" bestFit="1" customWidth="1"/>
    <col min="2" max="2" width="8.5" bestFit="1" customWidth="1"/>
    <col min="3" max="3" width="6.5" bestFit="1" customWidth="1"/>
  </cols>
  <sheetData>
    <row r="1" spans="1:3" x14ac:dyDescent="0.2">
      <c r="A1" s="1" t="s">
        <v>27</v>
      </c>
      <c r="B1" t="s">
        <v>30</v>
      </c>
      <c r="C1" t="s">
        <v>31</v>
      </c>
    </row>
    <row r="2" spans="1:3" x14ac:dyDescent="0.2">
      <c r="A2" s="2" t="s">
        <v>19</v>
      </c>
      <c r="B2">
        <v>53906</v>
      </c>
      <c r="C2">
        <v>0.99</v>
      </c>
    </row>
    <row r="3" spans="1:3" x14ac:dyDescent="0.2">
      <c r="A3" s="2" t="s">
        <v>18</v>
      </c>
      <c r="B3">
        <v>152987</v>
      </c>
      <c r="C3">
        <v>2.8</v>
      </c>
    </row>
    <row r="4" spans="1:3" x14ac:dyDescent="0.2">
      <c r="A4" s="2" t="s">
        <v>16</v>
      </c>
      <c r="B4">
        <v>5145668</v>
      </c>
      <c r="C4">
        <v>94.24</v>
      </c>
    </row>
    <row r="5" spans="1:3" x14ac:dyDescent="0.2">
      <c r="A5" s="2" t="s">
        <v>17</v>
      </c>
      <c r="B5">
        <v>107514</v>
      </c>
      <c r="C5">
        <v>1.97</v>
      </c>
    </row>
    <row r="6" spans="1:3" x14ac:dyDescent="0.2">
      <c r="A6" s="2" t="s">
        <v>29</v>
      </c>
      <c r="B6">
        <v>5460075</v>
      </c>
      <c r="C6">
        <v>100</v>
      </c>
    </row>
  </sheetData>
  <phoneticPr fontId="1" type="noConversion"/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C2FDD-E0EF-4A20-9732-53FA05F3CE7E}">
  <dimension ref="A1:C5"/>
  <sheetViews>
    <sheetView topLeftCell="A10" workbookViewId="0"/>
  </sheetViews>
  <sheetFormatPr defaultRowHeight="14.25" x14ac:dyDescent="0.2"/>
  <cols>
    <col min="1" max="2" width="11" bestFit="1" customWidth="1"/>
    <col min="3" max="3" width="13.75" bestFit="1" customWidth="1"/>
  </cols>
  <sheetData>
    <row r="1" spans="1:3" x14ac:dyDescent="0.2">
      <c r="A1" t="s">
        <v>13</v>
      </c>
      <c r="B1" t="s">
        <v>14</v>
      </c>
      <c r="C1" t="s">
        <v>15</v>
      </c>
    </row>
    <row r="2" spans="1:3" x14ac:dyDescent="0.2">
      <c r="A2" t="s">
        <v>16</v>
      </c>
      <c r="B2">
        <v>5145668</v>
      </c>
      <c r="C2">
        <v>94.24</v>
      </c>
    </row>
    <row r="3" spans="1:3" x14ac:dyDescent="0.2">
      <c r="A3" t="s">
        <v>17</v>
      </c>
      <c r="B3">
        <v>107514</v>
      </c>
      <c r="C3">
        <v>1.97</v>
      </c>
    </row>
    <row r="4" spans="1:3" x14ac:dyDescent="0.2">
      <c r="A4" t="s">
        <v>18</v>
      </c>
      <c r="B4">
        <v>152987</v>
      </c>
      <c r="C4">
        <v>2.8</v>
      </c>
    </row>
    <row r="5" spans="1:3" x14ac:dyDescent="0.2">
      <c r="A5" t="s">
        <v>19</v>
      </c>
      <c r="B5">
        <v>53906</v>
      </c>
      <c r="C5">
        <v>0.99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1F57B-993A-4D42-9612-8DEFAAE71753}">
  <dimension ref="A1:B5"/>
  <sheetViews>
    <sheetView workbookViewId="0">
      <selection activeCell="M23" sqref="M23"/>
    </sheetView>
  </sheetViews>
  <sheetFormatPr defaultRowHeight="14.25" x14ac:dyDescent="0.2"/>
  <cols>
    <col min="1" max="1" width="11" bestFit="1" customWidth="1"/>
    <col min="2" max="2" width="7.125" bestFit="1" customWidth="1"/>
  </cols>
  <sheetData>
    <row r="1" spans="1:2" x14ac:dyDescent="0.2">
      <c r="A1" s="1" t="s">
        <v>27</v>
      </c>
      <c r="B1" t="s">
        <v>32</v>
      </c>
    </row>
    <row r="2" spans="1:2" x14ac:dyDescent="0.2">
      <c r="A2" s="2" t="s">
        <v>26</v>
      </c>
      <c r="B2">
        <v>87.85</v>
      </c>
    </row>
    <row r="3" spans="1:2" x14ac:dyDescent="0.2">
      <c r="A3" s="2" t="s">
        <v>24</v>
      </c>
      <c r="B3">
        <v>80.849999999999994</v>
      </c>
    </row>
    <row r="4" spans="1:2" x14ac:dyDescent="0.2">
      <c r="A4" s="2" t="s">
        <v>25</v>
      </c>
      <c r="B4">
        <v>87.2</v>
      </c>
    </row>
    <row r="5" spans="1:2" x14ac:dyDescent="0.2">
      <c r="A5" s="2" t="s">
        <v>29</v>
      </c>
      <c r="B5">
        <v>255.89999999999998</v>
      </c>
    </row>
  </sheetData>
  <phoneticPr fontId="1" type="noConversion"/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26A51-87E2-42D8-852A-AE91BB1AC353}">
  <dimension ref="A1:D4"/>
  <sheetViews>
    <sheetView workbookViewId="0"/>
  </sheetViews>
  <sheetFormatPr defaultRowHeight="14.25" x14ac:dyDescent="0.2"/>
  <cols>
    <col min="1" max="1" width="11" bestFit="1" customWidth="1"/>
    <col min="2" max="2" width="17.125" bestFit="1" customWidth="1"/>
    <col min="3" max="3" width="13" bestFit="1" customWidth="1"/>
    <col min="4" max="4" width="15.875" bestFit="1" customWidth="1"/>
  </cols>
  <sheetData>
    <row r="1" spans="1:4" x14ac:dyDescent="0.2">
      <c r="A1" t="s">
        <v>20</v>
      </c>
      <c r="B1" t="s">
        <v>21</v>
      </c>
      <c r="C1" t="s">
        <v>22</v>
      </c>
      <c r="D1" t="s">
        <v>23</v>
      </c>
    </row>
    <row r="2" spans="1:4" x14ac:dyDescent="0.2">
      <c r="A2" t="s">
        <v>24</v>
      </c>
      <c r="B2">
        <v>9993</v>
      </c>
      <c r="C2">
        <v>8079</v>
      </c>
      <c r="D2">
        <v>80.849999999999994</v>
      </c>
    </row>
    <row r="3" spans="1:4" x14ac:dyDescent="0.2">
      <c r="A3" t="s">
        <v>25</v>
      </c>
      <c r="B3">
        <v>5679</v>
      </c>
      <c r="C3">
        <v>4952</v>
      </c>
      <c r="D3">
        <v>87.2</v>
      </c>
    </row>
    <row r="4" spans="1:4" x14ac:dyDescent="0.2">
      <c r="A4" t="s">
        <v>26</v>
      </c>
      <c r="B4">
        <v>7962</v>
      </c>
      <c r="C4">
        <v>6995</v>
      </c>
      <c r="D4">
        <v>87.85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8DEE4-954D-4DDF-823A-B8C93C35A75F}">
  <dimension ref="A3:C7"/>
  <sheetViews>
    <sheetView workbookViewId="0">
      <selection activeCell="Q21" sqref="Q21"/>
    </sheetView>
  </sheetViews>
  <sheetFormatPr defaultRowHeight="14.25" x14ac:dyDescent="0.2"/>
  <cols>
    <col min="1" max="1" width="11" bestFit="1" customWidth="1"/>
    <col min="2" max="2" width="5.5" bestFit="1" customWidth="1"/>
    <col min="3" max="3" width="7.5" bestFit="1" customWidth="1"/>
  </cols>
  <sheetData>
    <row r="3" spans="1:3" x14ac:dyDescent="0.2">
      <c r="A3" s="1" t="s">
        <v>27</v>
      </c>
      <c r="B3" t="s">
        <v>41</v>
      </c>
      <c r="C3" t="s">
        <v>42</v>
      </c>
    </row>
    <row r="4" spans="1:3" x14ac:dyDescent="0.2">
      <c r="A4" s="2" t="s">
        <v>37</v>
      </c>
      <c r="B4">
        <v>4145</v>
      </c>
      <c r="C4">
        <v>51.31</v>
      </c>
    </row>
    <row r="5" spans="1:3" x14ac:dyDescent="0.2">
      <c r="A5" s="2" t="s">
        <v>36</v>
      </c>
      <c r="B5">
        <v>2670</v>
      </c>
      <c r="C5">
        <v>33.049999999999997</v>
      </c>
    </row>
    <row r="6" spans="1:3" x14ac:dyDescent="0.2">
      <c r="A6" s="2" t="s">
        <v>38</v>
      </c>
      <c r="B6">
        <v>1264</v>
      </c>
      <c r="C6">
        <v>15.65</v>
      </c>
    </row>
    <row r="7" spans="1:3" x14ac:dyDescent="0.2">
      <c r="A7" s="2" t="s">
        <v>29</v>
      </c>
      <c r="B7">
        <v>8079</v>
      </c>
      <c r="C7">
        <v>100.01</v>
      </c>
    </row>
  </sheetData>
  <phoneticPr fontId="1" type="noConversion"/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EEDDE-CB4E-4C77-9679-E6B5421703B3}">
  <dimension ref="A1:C4"/>
  <sheetViews>
    <sheetView workbookViewId="0">
      <selection activeCell="B3" sqref="B3"/>
    </sheetView>
  </sheetViews>
  <sheetFormatPr defaultRowHeight="14.25" x14ac:dyDescent="0.2"/>
  <cols>
    <col min="1" max="1" width="11.875" bestFit="1" customWidth="1"/>
    <col min="2" max="2" width="12.875" bestFit="1" customWidth="1"/>
    <col min="3" max="3" width="11.875" bestFit="1" customWidth="1"/>
  </cols>
  <sheetData>
    <row r="1" spans="1:3" x14ac:dyDescent="0.2">
      <c r="A1" t="s">
        <v>33</v>
      </c>
      <c r="B1" t="s">
        <v>34</v>
      </c>
      <c r="C1" t="s">
        <v>35</v>
      </c>
    </row>
    <row r="2" spans="1:3" x14ac:dyDescent="0.2">
      <c r="A2" t="s">
        <v>36</v>
      </c>
      <c r="B2">
        <v>2670</v>
      </c>
      <c r="C2">
        <v>33.049999999999997</v>
      </c>
    </row>
    <row r="3" spans="1:3" x14ac:dyDescent="0.2">
      <c r="A3" t="s">
        <v>37</v>
      </c>
      <c r="B3">
        <v>4145</v>
      </c>
      <c r="C3">
        <v>51.31</v>
      </c>
    </row>
    <row r="4" spans="1:3" x14ac:dyDescent="0.2">
      <c r="A4" t="s">
        <v>38</v>
      </c>
      <c r="B4">
        <v>1264</v>
      </c>
      <c r="C4">
        <v>15.65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A63B9-AE50-45E4-A6AC-10A90EB77CAF}">
  <dimension ref="A3:C24"/>
  <sheetViews>
    <sheetView topLeftCell="A7" workbookViewId="0">
      <selection activeCell="O38" sqref="O38"/>
    </sheetView>
  </sheetViews>
  <sheetFormatPr defaultRowHeight="14.25" x14ac:dyDescent="0.2"/>
  <cols>
    <col min="1" max="1" width="9.125" bestFit="1" customWidth="1"/>
    <col min="2" max="2" width="24.875" bestFit="1" customWidth="1"/>
    <col min="3" max="3" width="15.625" bestFit="1" customWidth="1"/>
    <col min="4" max="4" width="3.5" bestFit="1" customWidth="1"/>
    <col min="5" max="5" width="6.5" bestFit="1" customWidth="1"/>
    <col min="6" max="6" width="5.5" bestFit="1" customWidth="1"/>
    <col min="7" max="7" width="3.5" bestFit="1" customWidth="1"/>
    <col min="8" max="13" width="5.5" bestFit="1" customWidth="1"/>
    <col min="14" max="14" width="4.5" bestFit="1" customWidth="1"/>
    <col min="15" max="16" width="5.5" bestFit="1" customWidth="1"/>
    <col min="17" max="17" width="6.5" bestFit="1" customWidth="1"/>
    <col min="18" max="18" width="7.5" bestFit="1" customWidth="1"/>
  </cols>
  <sheetData>
    <row r="3" spans="1:3" x14ac:dyDescent="0.2">
      <c r="A3" s="1" t="s">
        <v>27</v>
      </c>
      <c r="B3" t="s">
        <v>43</v>
      </c>
      <c r="C3" t="s">
        <v>44</v>
      </c>
    </row>
    <row r="4" spans="1:3" x14ac:dyDescent="0.2">
      <c r="A4" s="2">
        <v>1742</v>
      </c>
      <c r="B4">
        <v>7.96</v>
      </c>
      <c r="C4">
        <v>113</v>
      </c>
    </row>
    <row r="5" spans="1:3" x14ac:dyDescent="0.2">
      <c r="A5" s="2">
        <v>1911</v>
      </c>
      <c r="B5">
        <v>9.5</v>
      </c>
      <c r="C5">
        <v>358</v>
      </c>
    </row>
    <row r="6" spans="1:3" x14ac:dyDescent="0.2">
      <c r="A6" s="2">
        <v>2510</v>
      </c>
      <c r="B6">
        <v>9.77</v>
      </c>
      <c r="C6">
        <v>174</v>
      </c>
    </row>
    <row r="7" spans="1:3" x14ac:dyDescent="0.2">
      <c r="A7" s="2">
        <v>2949</v>
      </c>
      <c r="B7">
        <v>25.85</v>
      </c>
      <c r="C7">
        <v>646</v>
      </c>
    </row>
    <row r="8" spans="1:3" x14ac:dyDescent="0.2">
      <c r="A8" s="2">
        <v>3654</v>
      </c>
      <c r="B8">
        <v>8</v>
      </c>
      <c r="C8">
        <v>125</v>
      </c>
    </row>
    <row r="9" spans="1:3" x14ac:dyDescent="0.2">
      <c r="A9" s="2">
        <v>4466</v>
      </c>
      <c r="B9">
        <v>9.66</v>
      </c>
      <c r="C9">
        <v>145</v>
      </c>
    </row>
    <row r="10" spans="1:3" x14ac:dyDescent="0.2">
      <c r="A10" s="2">
        <v>4560</v>
      </c>
      <c r="B10">
        <v>7.68</v>
      </c>
      <c r="C10">
        <v>938</v>
      </c>
    </row>
    <row r="11" spans="1:3" x14ac:dyDescent="0.2">
      <c r="A11" s="2">
        <v>4751</v>
      </c>
      <c r="B11">
        <v>9.39</v>
      </c>
      <c r="C11">
        <v>213</v>
      </c>
    </row>
    <row r="12" spans="1:3" x14ac:dyDescent="0.2">
      <c r="A12" s="2">
        <v>4776</v>
      </c>
      <c r="B12">
        <v>7.89</v>
      </c>
      <c r="C12">
        <v>279</v>
      </c>
    </row>
    <row r="13" spans="1:3" x14ac:dyDescent="0.2">
      <c r="A13" s="2">
        <v>5746</v>
      </c>
      <c r="B13">
        <v>8.89</v>
      </c>
      <c r="C13">
        <v>270</v>
      </c>
    </row>
    <row r="14" spans="1:3" x14ac:dyDescent="0.2">
      <c r="A14" s="2">
        <v>5897</v>
      </c>
      <c r="B14">
        <v>7.95</v>
      </c>
      <c r="C14">
        <v>151</v>
      </c>
    </row>
    <row r="15" spans="1:3" x14ac:dyDescent="0.2">
      <c r="A15" s="2">
        <v>6836</v>
      </c>
      <c r="B15">
        <v>8.57</v>
      </c>
      <c r="C15">
        <v>140</v>
      </c>
    </row>
    <row r="16" spans="1:3" x14ac:dyDescent="0.2">
      <c r="A16" s="2">
        <v>7942</v>
      </c>
      <c r="B16">
        <v>7.96</v>
      </c>
      <c r="C16">
        <v>113</v>
      </c>
    </row>
    <row r="17" spans="1:3" x14ac:dyDescent="0.2">
      <c r="A17" s="2">
        <v>10121</v>
      </c>
      <c r="B17">
        <v>8.2899999999999991</v>
      </c>
      <c r="C17">
        <v>1424</v>
      </c>
    </row>
    <row r="18" spans="1:3" x14ac:dyDescent="0.2">
      <c r="A18" s="2">
        <v>10761</v>
      </c>
      <c r="B18">
        <v>10.4</v>
      </c>
      <c r="C18">
        <v>173</v>
      </c>
    </row>
    <row r="19" spans="1:3" x14ac:dyDescent="0.2">
      <c r="A19" s="2">
        <v>10873</v>
      </c>
      <c r="B19">
        <v>10</v>
      </c>
      <c r="C19">
        <v>100</v>
      </c>
    </row>
    <row r="20" spans="1:3" x14ac:dyDescent="0.2">
      <c r="A20" s="2">
        <v>11604</v>
      </c>
      <c r="B20">
        <v>10</v>
      </c>
      <c r="C20">
        <v>150</v>
      </c>
    </row>
    <row r="21" spans="1:3" x14ac:dyDescent="0.2">
      <c r="A21" s="2">
        <v>12309</v>
      </c>
      <c r="B21">
        <v>10.43</v>
      </c>
      <c r="C21">
        <v>115</v>
      </c>
    </row>
    <row r="22" spans="1:3" x14ac:dyDescent="0.2">
      <c r="A22" s="2">
        <v>12514</v>
      </c>
      <c r="B22">
        <v>7.99</v>
      </c>
      <c r="C22">
        <v>338</v>
      </c>
    </row>
    <row r="23" spans="1:3" x14ac:dyDescent="0.2">
      <c r="A23" s="2">
        <v>13056</v>
      </c>
      <c r="B23">
        <v>11</v>
      </c>
      <c r="C23">
        <v>100</v>
      </c>
    </row>
    <row r="24" spans="1:3" x14ac:dyDescent="0.2">
      <c r="A24" s="2" t="s">
        <v>29</v>
      </c>
      <c r="B24">
        <v>197.18</v>
      </c>
      <c r="C24">
        <v>6065</v>
      </c>
    </row>
  </sheetData>
  <phoneticPr fontId="1" type="noConversion"/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97BF4-18FA-461B-81AC-A076B39E80B2}">
  <dimension ref="A1:E21"/>
  <sheetViews>
    <sheetView workbookViewId="0"/>
  </sheetViews>
  <sheetFormatPr defaultRowHeight="14.25" x14ac:dyDescent="0.2"/>
  <cols>
    <col min="1" max="1" width="13" bestFit="1" customWidth="1"/>
    <col min="2" max="4" width="11" bestFit="1" customWidth="1"/>
    <col min="5" max="5" width="20" bestFit="1" customWidth="1"/>
  </cols>
  <sheetData>
    <row r="1" spans="1:5" x14ac:dyDescent="0.2">
      <c r="A1" t="s">
        <v>39</v>
      </c>
      <c r="B1" t="s">
        <v>1</v>
      </c>
      <c r="C1" t="s">
        <v>3</v>
      </c>
      <c r="D1" t="s">
        <v>4</v>
      </c>
      <c r="E1" t="s">
        <v>40</v>
      </c>
    </row>
    <row r="2" spans="1:5" x14ac:dyDescent="0.2">
      <c r="A2">
        <v>2949</v>
      </c>
      <c r="B2">
        <v>646</v>
      </c>
      <c r="C2">
        <v>11</v>
      </c>
      <c r="D2">
        <v>167</v>
      </c>
      <c r="E2">
        <v>25.85</v>
      </c>
    </row>
    <row r="3" spans="1:5" x14ac:dyDescent="0.2">
      <c r="A3">
        <v>13056</v>
      </c>
      <c r="B3">
        <v>100</v>
      </c>
      <c r="C3">
        <v>12</v>
      </c>
      <c r="D3">
        <v>11</v>
      </c>
      <c r="E3">
        <v>11</v>
      </c>
    </row>
    <row r="4" spans="1:5" x14ac:dyDescent="0.2">
      <c r="A4">
        <v>12309</v>
      </c>
      <c r="B4">
        <v>115</v>
      </c>
      <c r="C4">
        <v>0</v>
      </c>
      <c r="D4">
        <v>12</v>
      </c>
      <c r="E4">
        <v>10.43</v>
      </c>
    </row>
    <row r="5" spans="1:5" x14ac:dyDescent="0.2">
      <c r="A5">
        <v>10761</v>
      </c>
      <c r="B5">
        <v>173</v>
      </c>
      <c r="C5">
        <v>20</v>
      </c>
      <c r="D5">
        <v>18</v>
      </c>
      <c r="E5">
        <v>10.4</v>
      </c>
    </row>
    <row r="6" spans="1:5" x14ac:dyDescent="0.2">
      <c r="A6">
        <v>11604</v>
      </c>
      <c r="B6">
        <v>150</v>
      </c>
      <c r="C6">
        <v>28</v>
      </c>
      <c r="D6">
        <v>15</v>
      </c>
      <c r="E6">
        <v>10</v>
      </c>
    </row>
    <row r="7" spans="1:5" x14ac:dyDescent="0.2">
      <c r="A7">
        <v>10873</v>
      </c>
      <c r="B7">
        <v>100</v>
      </c>
      <c r="C7">
        <v>9</v>
      </c>
      <c r="D7">
        <v>10</v>
      </c>
      <c r="E7">
        <v>10</v>
      </c>
    </row>
    <row r="8" spans="1:5" x14ac:dyDescent="0.2">
      <c r="A8">
        <v>2510</v>
      </c>
      <c r="B8">
        <v>174</v>
      </c>
      <c r="C8">
        <v>32</v>
      </c>
      <c r="D8">
        <v>17</v>
      </c>
      <c r="E8">
        <v>9.77</v>
      </c>
    </row>
    <row r="9" spans="1:5" x14ac:dyDescent="0.2">
      <c r="A9">
        <v>4466</v>
      </c>
      <c r="B9">
        <v>145</v>
      </c>
      <c r="C9">
        <v>18</v>
      </c>
      <c r="D9">
        <v>14</v>
      </c>
      <c r="E9">
        <v>9.66</v>
      </c>
    </row>
    <row r="10" spans="1:5" x14ac:dyDescent="0.2">
      <c r="A10">
        <v>1911</v>
      </c>
      <c r="B10">
        <v>358</v>
      </c>
      <c r="C10">
        <v>0</v>
      </c>
      <c r="D10">
        <v>34</v>
      </c>
      <c r="E10">
        <v>9.5</v>
      </c>
    </row>
    <row r="11" spans="1:5" x14ac:dyDescent="0.2">
      <c r="A11">
        <v>4751</v>
      </c>
      <c r="B11">
        <v>213</v>
      </c>
      <c r="C11">
        <v>20</v>
      </c>
      <c r="D11">
        <v>20</v>
      </c>
      <c r="E11">
        <v>9.39</v>
      </c>
    </row>
    <row r="12" spans="1:5" x14ac:dyDescent="0.2">
      <c r="A12">
        <v>5746</v>
      </c>
      <c r="B12">
        <v>270</v>
      </c>
      <c r="C12">
        <v>34</v>
      </c>
      <c r="D12">
        <v>24</v>
      </c>
      <c r="E12">
        <v>8.89</v>
      </c>
    </row>
    <row r="13" spans="1:5" x14ac:dyDescent="0.2">
      <c r="A13">
        <v>6836</v>
      </c>
      <c r="B13">
        <v>140</v>
      </c>
      <c r="C13">
        <v>7</v>
      </c>
      <c r="D13">
        <v>12</v>
      </c>
      <c r="E13">
        <v>8.57</v>
      </c>
    </row>
    <row r="14" spans="1:5" x14ac:dyDescent="0.2">
      <c r="A14">
        <v>10121</v>
      </c>
      <c r="B14">
        <v>1424</v>
      </c>
      <c r="C14">
        <v>0</v>
      </c>
      <c r="D14">
        <v>118</v>
      </c>
      <c r="E14">
        <v>8.2899999999999991</v>
      </c>
    </row>
    <row r="15" spans="1:5" x14ac:dyDescent="0.2">
      <c r="A15">
        <v>3654</v>
      </c>
      <c r="B15">
        <v>125</v>
      </c>
      <c r="C15">
        <v>24</v>
      </c>
      <c r="D15">
        <v>10</v>
      </c>
      <c r="E15">
        <v>8</v>
      </c>
    </row>
    <row r="16" spans="1:5" x14ac:dyDescent="0.2">
      <c r="A16">
        <v>12514</v>
      </c>
      <c r="B16">
        <v>338</v>
      </c>
      <c r="C16">
        <v>0</v>
      </c>
      <c r="D16">
        <v>27</v>
      </c>
      <c r="E16">
        <v>7.99</v>
      </c>
    </row>
    <row r="17" spans="1:5" x14ac:dyDescent="0.2">
      <c r="A17">
        <v>1742</v>
      </c>
      <c r="B17">
        <v>113</v>
      </c>
      <c r="C17">
        <v>2</v>
      </c>
      <c r="D17">
        <v>9</v>
      </c>
      <c r="E17">
        <v>7.96</v>
      </c>
    </row>
    <row r="18" spans="1:5" x14ac:dyDescent="0.2">
      <c r="A18">
        <v>7942</v>
      </c>
      <c r="B18">
        <v>113</v>
      </c>
      <c r="C18">
        <v>23</v>
      </c>
      <c r="D18">
        <v>9</v>
      </c>
      <c r="E18">
        <v>7.96</v>
      </c>
    </row>
    <row r="19" spans="1:5" x14ac:dyDescent="0.2">
      <c r="A19">
        <v>5897</v>
      </c>
      <c r="B19">
        <v>151</v>
      </c>
      <c r="C19">
        <v>10</v>
      </c>
      <c r="D19">
        <v>12</v>
      </c>
      <c r="E19">
        <v>7.95</v>
      </c>
    </row>
    <row r="20" spans="1:5" x14ac:dyDescent="0.2">
      <c r="A20">
        <v>4776</v>
      </c>
      <c r="B20">
        <v>279</v>
      </c>
      <c r="C20">
        <v>7</v>
      </c>
      <c r="D20">
        <v>22</v>
      </c>
      <c r="E20">
        <v>7.89</v>
      </c>
    </row>
    <row r="21" spans="1:5" x14ac:dyDescent="0.2">
      <c r="A21">
        <v>4560</v>
      </c>
      <c r="B21">
        <v>938</v>
      </c>
      <c r="C21">
        <v>113</v>
      </c>
      <c r="D21">
        <v>72</v>
      </c>
      <c r="E21">
        <v>7.68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52CB4-534F-4AB3-B839-D7CB123497E1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75E3E81-67CF-405F-9F80-5EC8B04380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小时维度可视化</vt:lpstr>
      <vt:lpstr>小时行为维度分布</vt:lpstr>
      <vt:lpstr>星期维度可视化</vt:lpstr>
      <vt:lpstr>星期维度行为分布</vt:lpstr>
      <vt:lpstr>用户行为可视化</vt:lpstr>
      <vt:lpstr>用户行为分布分析</vt:lpstr>
      <vt:lpstr>转化率可视化</vt:lpstr>
      <vt:lpstr>转化率分析</vt:lpstr>
      <vt:lpstr>rfm分层可视化</vt:lpstr>
      <vt:lpstr>rfm分层</vt:lpstr>
      <vt:lpstr>商品类目可视化</vt:lpstr>
      <vt:lpstr>商品类目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a83663</dc:creator>
  <cp:lastModifiedBy>a83663</cp:lastModifiedBy>
  <dcterms:created xsi:type="dcterms:W3CDTF">2026-03-09T05:04:20Z</dcterms:created>
  <dcterms:modified xsi:type="dcterms:W3CDTF">2026-03-13T03:03:55Z</dcterms:modified>
</cp:coreProperties>
</file>